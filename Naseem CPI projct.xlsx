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30c9973856bda4/Desktop/coding ninja/"/>
    </mc:Choice>
  </mc:AlternateContent>
  <xr:revisionPtr revIDLastSave="1178" documentId="8_{0511E5E3-6C5C-4A71-841B-0A334EC048DE}" xr6:coauthVersionLast="47" xr6:coauthVersionMax="47" xr10:uidLastSave="{9EEE4381-FB14-4C28-A7E5-53C9C28EF998}"/>
  <bookViews>
    <workbookView xWindow="-108" yWindow="-108" windowWidth="23256" windowHeight="12456" activeTab="5" xr2:uid="{2570722C-EB21-497E-803A-E76A046E56AF}"/>
  </bookViews>
  <sheets>
    <sheet name="Sheet2" sheetId="4" r:id="rId1"/>
    <sheet name="All_India_Index_Upto_April23 (1" sheetId="1" r:id="rId2"/>
    <sheet name="Sheet5" sheetId="7" r:id="rId3"/>
    <sheet name="crude oil" sheetId="5" r:id="rId4"/>
    <sheet name="Data dictnory" sheetId="2" r:id="rId5"/>
    <sheet name="Sheet1" sheetId="3" r:id="rId6"/>
  </sheets>
  <definedNames>
    <definedName name="_xlnm._FilterDatabase" localSheetId="1" hidden="1">'All_India_Index_Upto_April23 (1'!$A$1:$AQ$373</definedName>
    <definedName name="_xlchart.v1.0" hidden="1">Sheet5!$AG$2:$AG$14</definedName>
    <definedName name="_xlchart.v1.1" hidden="1">Sheet5!$AH$1</definedName>
    <definedName name="_xlchart.v1.10" hidden="1">Sheet5!$AH$2:$AH$14</definedName>
    <definedName name="_xlchart.v1.2" hidden="1">Sheet5!$AH$2:$AH$14</definedName>
    <definedName name="_xlchart.v1.3" hidden="1">Sheet5!$AG$2:$AG$14</definedName>
    <definedName name="_xlchart.v1.4" hidden="1">Sheet5!$AH$1</definedName>
    <definedName name="_xlchart.v1.5" hidden="1">Sheet5!$AH$2:$AH$14</definedName>
    <definedName name="_xlchart.v1.8" hidden="1">Sheet5!$AG$2:$AG$14</definedName>
    <definedName name="_xlchart.v1.9" hidden="1">Sheet5!$AH$1</definedName>
    <definedName name="_xlchart.v2.6" hidden="1">Sheet2!$C$18:$N$18</definedName>
    <definedName name="_xlchart.v2.7" hidden="1">Sheet2!$C$19:$N$19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8" i="3" l="1"/>
  <c r="S179" i="3"/>
  <c r="S180" i="3"/>
  <c r="S181" i="3"/>
  <c r="S182" i="3"/>
  <c r="S183" i="3"/>
  <c r="S184" i="3"/>
  <c r="S185" i="3"/>
  <c r="S186" i="3"/>
  <c r="S187" i="3"/>
  <c r="S188" i="3"/>
  <c r="S189" i="3"/>
  <c r="AH14" i="7"/>
  <c r="AH13" i="7"/>
  <c r="AH12" i="7"/>
  <c r="AH11" i="7"/>
  <c r="AH10" i="7"/>
  <c r="AH9" i="7"/>
  <c r="AH8" i="7"/>
  <c r="AH7" i="7"/>
  <c r="AH6" i="7"/>
  <c r="AH5" i="7"/>
  <c r="AH4" i="7"/>
  <c r="AH3" i="7"/>
  <c r="F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3" i="7"/>
  <c r="AA289" i="1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" i="7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" i="5"/>
  <c r="D289" i="1"/>
  <c r="D316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288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288" i="1"/>
  <c r="D287" i="1"/>
  <c r="D288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3" i="5"/>
  <c r="D24" i="4"/>
  <c r="E24" i="4"/>
  <c r="F24" i="4"/>
  <c r="G24" i="4"/>
  <c r="H24" i="4"/>
  <c r="I24" i="4"/>
  <c r="J24" i="4"/>
  <c r="K24" i="4"/>
  <c r="L24" i="4"/>
  <c r="M24" i="4"/>
  <c r="N24" i="4"/>
  <c r="C24" i="4"/>
  <c r="G19" i="4"/>
  <c r="N181" i="4"/>
  <c r="F133" i="4"/>
  <c r="E234" i="4"/>
  <c r="D236" i="4"/>
  <c r="D235" i="4"/>
  <c r="D234" i="4"/>
  <c r="E181" i="4"/>
  <c r="F181" i="4"/>
  <c r="G181" i="4"/>
  <c r="H181" i="4"/>
  <c r="I181" i="4"/>
  <c r="J181" i="4"/>
  <c r="K181" i="4"/>
  <c r="L181" i="4"/>
  <c r="M181" i="4"/>
  <c r="O181" i="4"/>
  <c r="P181" i="4"/>
  <c r="D181" i="4"/>
  <c r="F134" i="4"/>
  <c r="F135" i="4"/>
  <c r="F136" i="4"/>
  <c r="F137" i="4"/>
  <c r="F138" i="4"/>
  <c r="F139" i="4"/>
  <c r="F140" i="4"/>
  <c r="F141" i="4"/>
  <c r="F142" i="4"/>
  <c r="F143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368" i="1"/>
  <c r="D369" i="1"/>
  <c r="D370" i="1"/>
  <c r="D371" i="1"/>
  <c r="D372" i="1"/>
  <c r="D373" i="1"/>
  <c r="D2" i="1"/>
  <c r="C41" i="3"/>
  <c r="C40" i="3"/>
  <c r="C39" i="3"/>
  <c r="C38" i="3"/>
  <c r="C37" i="3"/>
  <c r="C36" i="3"/>
  <c r="D19" i="4"/>
  <c r="E19" i="4"/>
  <c r="F19" i="4"/>
  <c r="H19" i="4"/>
  <c r="I19" i="4"/>
  <c r="J19" i="4"/>
  <c r="K19" i="4"/>
  <c r="L19" i="4"/>
  <c r="M19" i="4"/>
  <c r="N19" i="4"/>
  <c r="C19" i="4"/>
  <c r="E86" i="4"/>
  <c r="E87" i="4"/>
  <c r="E88" i="4"/>
  <c r="E89" i="4"/>
  <c r="E90" i="4"/>
  <c r="E85" i="4"/>
  <c r="C17" i="4"/>
  <c r="J17" i="4"/>
  <c r="K17" i="4"/>
  <c r="L17" i="4"/>
  <c r="M17" i="4"/>
  <c r="N17" i="4"/>
  <c r="F17" i="4"/>
  <c r="G17" i="4"/>
  <c r="H17" i="4"/>
  <c r="I17" i="4"/>
  <c r="D17" i="4"/>
  <c r="E17" i="4"/>
  <c r="E235" i="4"/>
  <c r="H249" i="4"/>
  <c r="H238" i="4"/>
  <c r="F238" i="4"/>
  <c r="H234" i="4"/>
  <c r="F249" i="4"/>
  <c r="D249" i="4"/>
  <c r="E238" i="4"/>
  <c r="G238" i="4"/>
  <c r="D238" i="4"/>
  <c r="G234" i="4"/>
  <c r="F234" i="4"/>
  <c r="E236" i="4"/>
  <c r="G249" i="4"/>
  <c r="E249" i="4"/>
  <c r="D237" i="4" l="1"/>
  <c r="E237" i="4"/>
  <c r="I135" i="4"/>
  <c r="I134" i="4"/>
  <c r="F236" i="4"/>
  <c r="H236" i="4"/>
  <c r="F235" i="4"/>
  <c r="G236" i="4"/>
  <c r="H235" i="4"/>
  <c r="G235" i="4"/>
  <c r="G237" i="4" l="1"/>
  <c r="H237" i="4"/>
  <c r="F237" i="4"/>
</calcChain>
</file>

<file path=xl/sharedStrings.xml><?xml version="1.0" encoding="utf-8"?>
<sst xmlns="http://schemas.openxmlformats.org/spreadsheetml/2006/main" count="1457" uniqueCount="201">
  <si>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</si>
  <si>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</si>
  <si>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</si>
  <si>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</si>
  <si>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</si>
  <si>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</si>
  <si>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</si>
  <si>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</si>
  <si>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</si>
  <si>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</si>
  <si>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</si>
  <si>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</si>
  <si>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</si>
  <si>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</si>
  <si>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</si>
  <si>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</si>
  <si>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</si>
  <si>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</si>
  <si>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</si>
  <si>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</si>
  <si>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</si>
  <si>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</si>
  <si>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</si>
  <si>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</si>
  <si>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</si>
  <si>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</si>
  <si>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</si>
  <si>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</si>
  <si>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</si>
  <si>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</si>
  <si>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</si>
  <si>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</si>
  <si>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</si>
  <si>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</si>
  <si>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</si>
  <si>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</si>
  <si>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</si>
  <si>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</si>
  <si>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</si>
  <si>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</si>
  <si>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</si>
  <si>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</si>
  <si>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</si>
  <si>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</si>
  <si>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</si>
  <si>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</si>
  <si>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</si>
  <si>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Column Name</t>
  </si>
  <si>
    <t>Column Definition</t>
  </si>
  <si>
    <t>Represents the population sector or geographical category for which the CPI data is recorded, such as Rural, Urban, or Rural+Urban.</t>
  </si>
  <si>
    <t>The calendar year in which the CPI data was recorded.</t>
  </si>
  <si>
    <t>The month in which the CPI data was recorded.</t>
  </si>
  <si>
    <t>CPI index value representing changes in the prices of cereals and cereal-based products.</t>
  </si>
  <si>
    <t>CPI index value representing changes in the prices of meat and fish products.</t>
  </si>
  <si>
    <t>CPI index value representing changes in the price of eggs.</t>
  </si>
  <si>
    <t>CPI index value representing changes in the prices of milk and dairy products.</t>
  </si>
  <si>
    <t>CPI index value representing changes in the prices of edible oils and fats.</t>
  </si>
  <si>
    <t>CPI index value representing changes in the prices of fruits.</t>
  </si>
  <si>
    <t>CPI index value representing changes in the prices of vegetables.</t>
  </si>
  <si>
    <t>CPI index value representing changes in the prices of pulses and pulse-based products.</t>
  </si>
  <si>
    <t>CPI index value representing changes in the prices of sugar and confectionery products.</t>
  </si>
  <si>
    <t>CPI index value representing changes in the prices of spices.</t>
  </si>
  <si>
    <t>CPI index value representing changes in the prices of non-alcoholic beverages.</t>
  </si>
  <si>
    <t>CPI index value representing changes in the prices of prepared meals, snacks, sweets, and similar food items.</t>
  </si>
  <si>
    <t>Combined CPI index value representing overall price changes in food and beverage items.</t>
  </si>
  <si>
    <t>CPI index value representing changes in the prices of pan, tobacco, and intoxicant-related products.</t>
  </si>
  <si>
    <t>CPI index value representing changes in the prices of clothing items.</t>
  </si>
  <si>
    <t>CPI index value representing changes in the prices of footwear.</t>
  </si>
  <si>
    <t>Combined CPI index value representing overall price changes in clothing and footwear.</t>
  </si>
  <si>
    <t>CPI index value representing changes in housing-related costs.</t>
  </si>
  <si>
    <t>CPI index value representing changes in the costs of fuel, electricity, and lighting.</t>
  </si>
  <si>
    <t>CPI index value representing changes in the prices of household goods and related services.</t>
  </si>
  <si>
    <t>CPI index value representing changes in healthcare and medical costs.</t>
  </si>
  <si>
    <t>CPI index value representing changes in transportation and communication costs.</t>
  </si>
  <si>
    <t>CPI index value representing changes in recreation, entertainment, and amusement costs.</t>
  </si>
  <si>
    <t>CPI index value representing changes in education-related expenses.</t>
  </si>
  <si>
    <t>CPI index value representing changes in personal care products, services, and related items.</t>
  </si>
  <si>
    <t>CPI index value representing changes in prices of other miscellaneous goods and services.</t>
  </si>
  <si>
    <t>Overall CPI index representing the combined price movement of the entire basket of goods and services.</t>
  </si>
  <si>
    <t>Average of Food and beverages</t>
  </si>
  <si>
    <t>Average of Pan, tobacco and intoxicants</t>
  </si>
  <si>
    <t>Average of Clothing and footwear</t>
  </si>
  <si>
    <t>Average of Fuel and light</t>
  </si>
  <si>
    <t>Average of Household goods and services</t>
  </si>
  <si>
    <t>Average of Health</t>
  </si>
  <si>
    <t>Average of Transport and communication</t>
  </si>
  <si>
    <t>Average of Recreation and amusement</t>
  </si>
  <si>
    <t>Average of Education</t>
  </si>
  <si>
    <t>Average of Housing</t>
  </si>
  <si>
    <t>Average of Miscellaneous</t>
  </si>
  <si>
    <t>Average of Personal care and effects</t>
  </si>
  <si>
    <t>Q1-   which broader category having higher contribution in CPI</t>
  </si>
  <si>
    <t>Q2 -    Which Year having YOY growth more after 2017 and also reasons</t>
  </si>
  <si>
    <t>Row Labels</t>
  </si>
  <si>
    <t>Grand Total</t>
  </si>
  <si>
    <t>Average of General index</t>
  </si>
  <si>
    <t>Years</t>
  </si>
  <si>
    <t>Y-O-Y Growth</t>
  </si>
  <si>
    <t>Avg</t>
  </si>
  <si>
    <t>As we can see in year 2022 the yoy growth is 6.60% which is maximum among all other years</t>
  </si>
  <si>
    <t xml:space="preserve">possible reasons  </t>
  </si>
  <si>
    <t>1-Russia–Ukraine War</t>
  </si>
  <si>
    <t>2-High Fuel Prices</t>
  </si>
  <si>
    <t>3-Global Supply Chain Disruptions</t>
  </si>
  <si>
    <t>4-Post-COVID Economic Recovery</t>
  </si>
  <si>
    <t>Q1 - Which broader category having higher contribution in CPI</t>
  </si>
  <si>
    <t>Q2 -  Which Year having YOY growth more after 2017 also reasons</t>
  </si>
  <si>
    <t>Year-month</t>
  </si>
  <si>
    <t>2022</t>
  </si>
  <si>
    <t>2023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</si>
  <si>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</si>
  <si>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</si>
  <si>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</si>
  <si>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</si>
  <si>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</si>
  <si>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</si>
  <si>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</si>
  <si>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</si>
  <si>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</si>
  <si>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</si>
  <si>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</si>
  <si>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months(2022-2023)</t>
  </si>
  <si>
    <t>Avg of food and bvg</t>
  </si>
  <si>
    <t>MOM Change %</t>
  </si>
  <si>
    <t>Highest food inflation in month October 2022 and lowest is December 2022</t>
  </si>
  <si>
    <t>Average of Cereals and products</t>
  </si>
  <si>
    <t>Average of Non-alcoholic beverages</t>
  </si>
  <si>
    <t>Average of Sugar and Confectionery</t>
  </si>
  <si>
    <t>Average of Prepared meals, snacks, sweets etc.</t>
  </si>
  <si>
    <t>Average of Milk and products</t>
  </si>
  <si>
    <t>Average of Vegetables</t>
  </si>
  <si>
    <t>Average of Spices</t>
  </si>
  <si>
    <t>Average of Pulses and products</t>
  </si>
  <si>
    <t>Average of Meat and fish</t>
  </si>
  <si>
    <t>Average of Oils and fats</t>
  </si>
  <si>
    <t>Average of Fruits</t>
  </si>
  <si>
    <t>Average of Egg</t>
  </si>
  <si>
    <t>absolute change</t>
  </si>
  <si>
    <t>Q3- Month with highest and lowest food Inflation</t>
  </si>
  <si>
    <t>3-b     Identify the Absolute change and also from food bucket which individual contribute most towards inflation</t>
  </si>
  <si>
    <t>Q4 - How covid-19 affect the inflation investigate</t>
  </si>
  <si>
    <t>2017</t>
  </si>
  <si>
    <t>2018</t>
  </si>
  <si>
    <t>2019</t>
  </si>
  <si>
    <t>2020</t>
  </si>
  <si>
    <t>2021</t>
  </si>
  <si>
    <t>before contribution</t>
  </si>
  <si>
    <t>After contribution</t>
  </si>
  <si>
    <t xml:space="preserve">Total Inflation </t>
  </si>
  <si>
    <r>
      <rPr>
        <b/>
        <sz val="11"/>
        <color theme="1"/>
        <rFont val="Calibri"/>
        <family val="2"/>
        <scheme val="minor"/>
      </rPr>
      <t xml:space="preserve">As we can see before mar2020 the average of food and beverages is </t>
    </r>
    <r>
      <rPr>
        <b/>
        <sz val="11"/>
        <color rgb="FFFF0000"/>
        <rFont val="Calibri"/>
        <family val="2"/>
        <scheme val="minor"/>
      </rPr>
      <t>140.97</t>
    </r>
    <r>
      <rPr>
        <b/>
        <sz val="11"/>
        <color theme="1"/>
        <rFont val="Calibri"/>
        <family val="2"/>
        <scheme val="minor"/>
      </rPr>
      <t xml:space="preserve"> but after march2020 it jumps to </t>
    </r>
    <r>
      <rPr>
        <b/>
        <sz val="11"/>
        <color rgb="FFFF0000"/>
        <rFont val="Calibri"/>
        <family val="2"/>
        <scheme val="minor"/>
      </rPr>
      <t>167.77</t>
    </r>
    <r>
      <rPr>
        <b/>
        <sz val="11"/>
        <color theme="1"/>
        <rFont val="Calibri"/>
        <family val="2"/>
        <scheme val="minor"/>
      </rPr>
      <t xml:space="preserve"> which is very high change</t>
    </r>
  </si>
  <si>
    <r>
      <t xml:space="preserve">As we can see before mar2020 the average of Fuel and Light is </t>
    </r>
    <r>
      <rPr>
        <b/>
        <sz val="11"/>
        <color rgb="FFFF0000"/>
        <rFont val="Calibri"/>
        <family val="2"/>
        <scheme val="minor"/>
      </rPr>
      <t>136.18</t>
    </r>
    <r>
      <rPr>
        <b/>
        <sz val="11"/>
        <color theme="1"/>
        <rFont val="Calibri"/>
        <family val="2"/>
        <scheme val="minor"/>
      </rPr>
      <t xml:space="preserve"> but after march2020 it jumps to </t>
    </r>
    <r>
      <rPr>
        <b/>
        <sz val="11"/>
        <color rgb="FFFF0000"/>
        <rFont val="Calibri"/>
        <family val="2"/>
        <scheme val="minor"/>
      </rPr>
      <t>163.61</t>
    </r>
    <r>
      <rPr>
        <b/>
        <sz val="11"/>
        <color theme="1"/>
        <rFont val="Calibri"/>
        <family val="2"/>
        <scheme val="minor"/>
      </rPr>
      <t xml:space="preserve"> which is very high change</t>
    </r>
  </si>
  <si>
    <r>
      <t xml:space="preserve">As we can see before mar2020 the average of Household goods and services t is </t>
    </r>
    <r>
      <rPr>
        <b/>
        <sz val="11"/>
        <color rgb="FFFF0000"/>
        <rFont val="Calibri"/>
        <family val="2"/>
        <scheme val="minor"/>
      </rPr>
      <t>138.54</t>
    </r>
    <r>
      <rPr>
        <b/>
        <sz val="11"/>
        <color theme="1"/>
        <rFont val="Calibri"/>
        <family val="2"/>
        <scheme val="minor"/>
      </rPr>
      <t xml:space="preserve"> but after march2020 it jumps to </t>
    </r>
    <r>
      <rPr>
        <b/>
        <sz val="11"/>
        <color rgb="FFFF0000"/>
        <rFont val="Calibri"/>
        <family val="2"/>
        <scheme val="minor"/>
      </rPr>
      <t>160.14</t>
    </r>
    <r>
      <rPr>
        <b/>
        <sz val="11"/>
        <color theme="1"/>
        <rFont val="Calibri"/>
        <family val="2"/>
        <scheme val="minor"/>
      </rPr>
      <t xml:space="preserve"> which is very high change</t>
    </r>
  </si>
  <si>
    <r>
      <t xml:space="preserve">As we can see before mar2020 the average of Health  is </t>
    </r>
    <r>
      <rPr>
        <b/>
        <sz val="11"/>
        <color rgb="FFFF0000"/>
        <rFont val="Calibri"/>
        <family val="2"/>
        <scheme val="minor"/>
      </rPr>
      <t>138.41</t>
    </r>
    <r>
      <rPr>
        <b/>
        <sz val="11"/>
        <color theme="1"/>
        <rFont val="Calibri"/>
        <family val="2"/>
        <scheme val="minor"/>
      </rPr>
      <t xml:space="preserve"> but after march2020 it jumps to </t>
    </r>
    <r>
      <rPr>
        <b/>
        <sz val="11"/>
        <color rgb="FFFF0000"/>
        <rFont val="Calibri"/>
        <family val="2"/>
        <scheme val="minor"/>
      </rPr>
      <t>168.68</t>
    </r>
    <r>
      <rPr>
        <b/>
        <sz val="11"/>
        <color theme="1"/>
        <rFont val="Calibri"/>
        <family val="2"/>
        <scheme val="minor"/>
      </rPr>
      <t xml:space="preserve"> which is very high change</t>
    </r>
  </si>
  <si>
    <t xml:space="preserve">Total </t>
  </si>
  <si>
    <r>
      <t xml:space="preserve">Fuel and light and health impact most due to covid-19 with </t>
    </r>
    <r>
      <rPr>
        <b/>
        <sz val="11"/>
        <color rgb="FFFF0000"/>
        <rFont val="Calibri"/>
        <family val="2"/>
        <scheme val="minor"/>
      </rPr>
      <t>9.15</t>
    </r>
    <r>
      <rPr>
        <b/>
        <sz val="11"/>
        <color theme="1"/>
        <rFont val="Calibri"/>
        <family val="2"/>
        <scheme val="minor"/>
      </rPr>
      <t xml:space="preserve">% and </t>
    </r>
    <r>
      <rPr>
        <b/>
        <sz val="11"/>
        <color rgb="FFFF0000"/>
        <rFont val="Calibri"/>
        <family val="2"/>
        <scheme val="minor"/>
      </rPr>
      <t>9.85</t>
    </r>
    <r>
      <rPr>
        <b/>
        <sz val="11"/>
        <color theme="1"/>
        <rFont val="Calibri"/>
        <family val="2"/>
        <scheme val="minor"/>
      </rPr>
      <t>% in cpi the result is obtained by comapre the data from 2017 to mar2020 with data after march 2020</t>
    </r>
  </si>
  <si>
    <r>
      <t xml:space="preserve">As we can see before mar2020 the average of Genral Index  is </t>
    </r>
    <r>
      <rPr>
        <b/>
        <sz val="11"/>
        <color rgb="FFFF0000"/>
        <rFont val="Calibri"/>
        <family val="2"/>
        <scheme val="minor"/>
      </rPr>
      <t>139.41</t>
    </r>
    <r>
      <rPr>
        <b/>
        <sz val="11"/>
        <color theme="1"/>
        <rFont val="Calibri"/>
        <family val="2"/>
        <scheme val="minor"/>
      </rPr>
      <t xml:space="preserve"> but after march2020 it jumps to </t>
    </r>
    <r>
      <rPr>
        <b/>
        <sz val="11"/>
        <color rgb="FFFF0000"/>
        <rFont val="Calibri"/>
        <family val="2"/>
        <scheme val="minor"/>
      </rPr>
      <t>165.68</t>
    </r>
    <r>
      <rPr>
        <b/>
        <sz val="11"/>
        <color theme="1"/>
        <rFont val="Calibri"/>
        <family val="2"/>
        <scheme val="minor"/>
      </rPr>
      <t xml:space="preserve"> which is very high change</t>
    </r>
  </si>
  <si>
    <t>Change %</t>
  </si>
  <si>
    <r>
      <rPr>
        <b/>
        <sz val="11"/>
        <color theme="1"/>
        <rFont val="Calibri"/>
        <family val="2"/>
        <scheme val="minor"/>
      </rPr>
      <t xml:space="preserve">As per the change % Health and fuel and light is impact most due to covid 19 with </t>
    </r>
    <r>
      <rPr>
        <b/>
        <sz val="11"/>
        <color rgb="FFFF0000"/>
        <rFont val="Calibri"/>
        <family val="2"/>
        <scheme val="minor"/>
      </rPr>
      <t>21.86</t>
    </r>
    <r>
      <rPr>
        <b/>
        <sz val="11"/>
        <color theme="1"/>
        <rFont val="Calibri"/>
        <family val="2"/>
        <scheme val="minor"/>
      </rPr>
      <t xml:space="preserve">% and </t>
    </r>
    <r>
      <rPr>
        <b/>
        <sz val="11"/>
        <color rgb="FFFF0000"/>
        <rFont val="Calibri"/>
        <family val="2"/>
        <scheme val="minor"/>
      </rPr>
      <t>20.14</t>
    </r>
    <r>
      <rPr>
        <b/>
        <sz val="11"/>
        <color theme="1"/>
        <rFont val="Calibri"/>
        <family val="2"/>
        <scheme val="minor"/>
      </rPr>
      <t>%</t>
    </r>
  </si>
  <si>
    <t>Q3</t>
  </si>
  <si>
    <t>B</t>
  </si>
  <si>
    <t>Average</t>
  </si>
  <si>
    <r>
      <t xml:space="preserve">Food and beverages have </t>
    </r>
    <r>
      <rPr>
        <b/>
        <sz val="14"/>
        <color rgb="FFFF0000"/>
        <rFont val="Calibri"/>
        <family val="2"/>
        <scheme val="minor"/>
      </rPr>
      <t>4.133</t>
    </r>
    <r>
      <rPr>
        <b/>
        <sz val="14"/>
        <color theme="1"/>
        <rFont val="Calibri"/>
        <family val="2"/>
        <scheme val="minor"/>
      </rPr>
      <t xml:space="preserve"> of absolute change while spices contribute most absolute change with </t>
    </r>
    <r>
      <rPr>
        <b/>
        <sz val="14"/>
        <color rgb="FFFF0000"/>
        <rFont val="Calibri"/>
        <family val="2"/>
        <scheme val="minor"/>
      </rPr>
      <t>30.46</t>
    </r>
    <r>
      <rPr>
        <b/>
        <sz val="14"/>
        <color theme="1"/>
        <rFont val="Calibri"/>
        <family val="2"/>
        <scheme val="minor"/>
      </rPr>
      <t xml:space="preserve"> </t>
    </r>
  </si>
  <si>
    <t>Q4</t>
  </si>
  <si>
    <t>Before mar 2020</t>
  </si>
  <si>
    <t>after mar 2020</t>
  </si>
  <si>
    <t>(All)</t>
  </si>
  <si>
    <t>for Latest Month may 2023</t>
  </si>
  <si>
    <t>for all years</t>
  </si>
  <si>
    <r>
      <t xml:space="preserve">As we can see Pan,tabacco and intoxicants category having the higher contribution towards CPI </t>
    </r>
    <r>
      <rPr>
        <b/>
        <sz val="14"/>
        <color rgb="FFFF0000"/>
        <rFont val="Calibri"/>
        <family val="2"/>
        <scheme val="minor"/>
      </rPr>
      <t>9.36%</t>
    </r>
    <r>
      <rPr>
        <b/>
        <sz val="12"/>
        <color theme="1"/>
        <rFont val="Calibri"/>
        <family val="2"/>
        <scheme val="minor"/>
      </rPr>
      <t xml:space="preserve"> in yearly pattern and for latest month may 2023 it is</t>
    </r>
    <r>
      <rPr>
        <b/>
        <sz val="12"/>
        <color rgb="FFFF0000"/>
        <rFont val="Calibri"/>
        <family val="2"/>
        <scheme val="minor"/>
      </rPr>
      <t xml:space="preserve"> 9.39%</t>
    </r>
  </si>
  <si>
    <t>vs</t>
  </si>
  <si>
    <t>Latest Month may 2023</t>
  </si>
  <si>
    <t>All years</t>
  </si>
  <si>
    <t>month</t>
  </si>
  <si>
    <t>price</t>
  </si>
  <si>
    <t>MOM change</t>
  </si>
  <si>
    <t>MOM for Food nad beverages</t>
  </si>
  <si>
    <t>MOM for Pan,etc</t>
  </si>
  <si>
    <t>MOM for Clothing and Footwear</t>
  </si>
  <si>
    <t>MOM for Fuel and Light</t>
  </si>
  <si>
    <t>MOM for Household Goods and etc</t>
  </si>
  <si>
    <t>MOM for Health</t>
  </si>
  <si>
    <t>MOM for Transport and etc</t>
  </si>
  <si>
    <t>MOM for recreation and amusement</t>
  </si>
  <si>
    <t>MOM for eduction</t>
  </si>
  <si>
    <t>MOM for Personal care and effect</t>
  </si>
  <si>
    <t>MOM for Miscellinous</t>
  </si>
  <si>
    <t>MOM for Genral index</t>
  </si>
  <si>
    <t>Crude Oil</t>
  </si>
  <si>
    <t>MOM of crude oil</t>
  </si>
  <si>
    <t>Food and Beverages</t>
  </si>
  <si>
    <t>Pan, Tobacco and Intoxicants</t>
  </si>
  <si>
    <t>Clothing and Footwear</t>
  </si>
  <si>
    <t>Fuel and Light</t>
  </si>
  <si>
    <t>Household Goods and Services</t>
  </si>
  <si>
    <t>Transport and Communication</t>
  </si>
  <si>
    <t>Recreation and Amusement</t>
  </si>
  <si>
    <t>Personal Care and Effects</t>
  </si>
  <si>
    <t>General Index</t>
  </si>
  <si>
    <t>broader categories</t>
  </si>
  <si>
    <t>correltion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</si>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</sst>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2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2" fillId="0" borderId="0" xfId="0" applyFont="1"/>
    <xf numFmtId="0" fontId="21" fillId="0" borderId="11" xfId="0" applyFont="1" applyBorder="1"/>
    <xf numFmtId="0" fontId="20" fillId="0" borderId="11" xfId="0" applyFont="1" applyBorder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/>
    <xf numFmtId="0" fontId="24" fillId="0" borderId="0" xfId="0" applyFont="1"/>
    <xf numFmtId="0" fontId="0" fillId="0" borderId="0" xfId="0" pivotButton="1"/>
    <xf numFmtId="0" fontId="16" fillId="33" borderId="10" xfId="0" applyFont="1" applyFill="1" applyBorder="1"/>
    <xf numFmtId="2" fontId="0" fillId="0" borderId="0" xfId="0" applyNumberFormat="1"/>
    <xf numFmtId="0" fontId="16" fillId="0" borderId="0" xfId="0" applyFont="1" applyAlignment="1">
      <alignment horizontal="left"/>
    </xf>
    <xf numFmtId="0" fontId="16" fillId="33" borderId="12" xfId="0" applyFont="1" applyFill="1" applyBorder="1"/>
    <xf numFmtId="17" fontId="16" fillId="0" borderId="0" xfId="0" applyNumberFormat="1" applyFont="1"/>
    <xf numFmtId="0" fontId="20" fillId="0" borderId="0" xfId="0" applyFont="1"/>
    <xf numFmtId="0" fontId="16" fillId="0" borderId="12" xfId="0" applyFont="1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0" fontId="16" fillId="34" borderId="11" xfId="0" applyFont="1" applyFill="1" applyBorder="1"/>
    <xf numFmtId="0" fontId="0" fillId="34" borderId="11" xfId="0" applyFill="1" applyBorder="1"/>
    <xf numFmtId="0" fontId="16" fillId="34" borderId="13" xfId="0" applyFont="1" applyFill="1" applyBorder="1" applyAlignment="1">
      <alignment horizontal="center"/>
    </xf>
    <xf numFmtId="0" fontId="16" fillId="34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2" fillId="0" borderId="0" xfId="0" applyFont="1" applyAlignment="1">
      <alignment horizontal="center" wrapText="1"/>
    </xf>
    <xf numFmtId="9" fontId="0" fillId="0" borderId="0" xfId="42" applyFont="1"/>
    <xf numFmtId="9" fontId="0" fillId="0" borderId="0" xfId="42" applyFont="1" applyAlignment="1">
      <alignment horizontal="center" vertical="center"/>
    </xf>
    <xf numFmtId="14" fontId="0" fillId="0" borderId="0" xfId="0" applyNumberFormat="1"/>
    <xf numFmtId="0" fontId="16" fillId="34" borderId="21" xfId="0" applyFont="1" applyFill="1" applyBorder="1" applyAlignment="1">
      <alignment horizontal="center" vertical="center"/>
    </xf>
    <xf numFmtId="0" fontId="16" fillId="0" borderId="11" xfId="0" applyFont="1" applyBorder="1"/>
    <xf numFmtId="0" fontId="0" fillId="0" borderId="11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4">
    <dxf>
      <alignment wrapText="0"/>
    </dxf>
    <dxf>
      <alignment wrapText="0"/>
    </dxf>
    <dxf>
      <alignment wrapText="1" indent="0"/>
    </dxf>
    <dxf>
      <alignment wrapText="1" indent="0"/>
    </dxf>
    <dxf>
      <alignment wrapText="0"/>
    </dxf>
    <dxf>
      <alignment wrapText="0"/>
    </dxf>
    <dxf>
      <alignment wrapText="0"/>
    </dxf>
    <dxf>
      <alignment wrapText="1" indent="0"/>
    </dxf>
    <dxf>
      <alignment wrapText="1" indent="0"/>
    </dxf>
    <dxf>
      <alignment wrapText="1" indent="0"/>
    </dxf>
    <dxf>
      <alignment horizontal="general"/>
    </dxf>
    <dxf>
      <alignment horizontal="general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0"/>
    </dxf>
    <dxf>
      <alignment wrapText="0"/>
    </dxf>
    <dxf>
      <alignment wrapText="1" indent="0"/>
    </dxf>
    <dxf>
      <alignment wrapText="1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 (1)^.xlsx]Sheet2!PivotTable1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Sheet2!$C$12</c:f>
              <c:strCache>
                <c:ptCount val="1"/>
                <c:pt idx="0">
                  <c:v>Average of Education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Sheet2!$C$13</c:f>
              <c:numCache>
                <c:formatCode>General</c:formatCode>
                <c:ptCount val="1"/>
                <c:pt idx="0">
                  <c:v>141.13114754098362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F-4231-9F5A-355BAE1C3085}"/>
            </c:ext>
          </c:extLst>
        </c:ser>
        <c:ser>
          <c:idx val="1"/>
          <c:order val="1"/>
          <c:tx>
            <c:strRef>
              <c:f>Sheet2!$D$12</c:f>
              <c:strCache>
                <c:ptCount val="1"/>
                <c:pt idx="0">
                  <c:v>Average of Food and beverages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Sheet2!$C$13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Sheet2!$D$13</c:f>
              <c:numCache>
                <c:formatCode>General</c:formatCode>
                <c:ptCount val="1"/>
                <c:pt idx="0">
                  <c:v>142.51002710027106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F-4231-9F5A-355BAE1C3085}"/>
            </c:ext>
          </c:extLst>
        </c:ser>
        <c:ser>
          <c:idx val="2"/>
          <c:order val="2"/>
          <c:tx>
            <c:strRef>
              <c:f>Sheet2!$E$12</c:f>
              <c:strCache>
                <c:ptCount val="1"/>
                <c:pt idx="0">
                  <c:v>Average of Household goods and services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Sheet2!$C$13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Sheet2!$E$13</c:f>
              <c:numCache>
                <c:formatCode>General</c:formatCode>
                <c:ptCount val="1"/>
                <c:pt idx="0">
                  <c:v>136.68688524590166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5F-4231-9F5A-355BAE1C3085}"/>
            </c:ext>
          </c:extLst>
        </c:ser>
        <c:ser>
          <c:idx val="3"/>
          <c:order val="3"/>
          <c:tx>
            <c:strRef>
              <c:f>Sheet2!$F$12</c:f>
              <c:strCache>
                <c:ptCount val="1"/>
                <c:pt idx="0">
                  <c:v>Average of Transport and communication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Sheet2!$C$13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Sheet2!$F$13</c:f>
              <c:numCache>
                <c:formatCode>General</c:formatCode>
                <c:ptCount val="1"/>
                <c:pt idx="0">
                  <c:v>127.17049180327859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5F-4231-9F5A-355BAE1C3085}"/>
            </c:ext>
          </c:extLst>
        </c:ser>
        <c:ser>
          <c:idx val="4"/>
          <c:order val="4"/>
          <c:tx>
            <c:strRef>
              <c:f>Sheet2!$G$12</c:f>
              <c:strCache>
                <c:ptCount val="1"/>
                <c:pt idx="0">
                  <c:v>Average of Fuel and light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Sheet2!$C$13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Sheet2!$G$13</c:f>
              <c:numCache>
                <c:formatCode>General</c:formatCode>
                <c:ptCount val="1"/>
                <c:pt idx="0">
                  <c:v>136.51002710027097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5F-4231-9F5A-355BAE1C3085}"/>
            </c:ext>
          </c:extLst>
        </c:ser>
        <c:ser>
          <c:idx val="5"/>
          <c:order val="5"/>
          <c:tx>
            <c:strRef>
              <c:f>Sheet2!$H$12</c:f>
              <c:strCache>
                <c:ptCount val="1"/>
                <c:pt idx="0">
                  <c:v>Average of Recreation and amusement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Sheet2!$C$13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Sheet2!$H$13</c:f>
              <c:numCache>
                <c:formatCode>General</c:formatCode>
                <c:ptCount val="1"/>
                <c:pt idx="0">
                  <c:v>133.89180327868851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5F-4231-9F5A-355BAE1C3085}"/>
            </c:ext>
          </c:extLst>
        </c:ser>
        <c:ser>
          <c:idx val="6"/>
          <c:order val="6"/>
          <c:tx>
            <c:strRef>
              <c:f>Sheet2!$I$12</c:f>
              <c:strCache>
                <c:ptCount val="1"/>
                <c:pt idx="0">
                  <c:v>Average of Personal care and effects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Sheet2!$I$13</c:f>
              <c:numCache>
                <c:formatCode>General</c:formatCode>
                <c:ptCount val="1"/>
                <c:pt idx="0">
                  <c:v>133.35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5F-4231-9F5A-355BAE1C3085}"/>
            </c:ext>
          </c:extLst>
        </c:ser>
        <c:ser>
          <c:idx val="7"/>
          <c:order val="7"/>
          <c:tx>
            <c:strRef>
              <c:f>Sheet2!$J$12</c:f>
              <c:strCache>
                <c:ptCount val="1"/>
                <c:pt idx="0">
                  <c:v>Average of Pan, tobacco and intoxicants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Sheet2!$J$13</c:f>
              <c:numCache>
                <c:formatCode>General</c:formatCode>
                <c:ptCount val="1"/>
                <c:pt idx="0">
                  <c:v>155.38579234972681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25F-4231-9F5A-355BAE1C3085}"/>
            </c:ext>
          </c:extLst>
        </c:ser>
        <c:ser>
          <c:idx val="8"/>
          <c:order val="8"/>
          <c:tx>
            <c:strRef>
              <c:f>Sheet2!$K$12</c:f>
              <c:strCache>
                <c:ptCount val="1"/>
                <c:pt idx="0">
                  <c:v>Average of Health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Sheet2!$K$13</c:f>
              <c:numCache>
                <c:formatCode>General</c:formatCode>
                <c:ptCount val="1"/>
                <c:pt idx="0">
                  <c:v>138.51680216802174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5F-4231-9F5A-355BAE1C3085}"/>
            </c:ext>
          </c:extLst>
        </c:ser>
        <c:ser>
          <c:idx val="9"/>
          <c:order val="9"/>
          <c:tx>
            <c:strRef>
              <c:f>Sheet2!$L$12</c:f>
              <c:strCache>
                <c:ptCount val="1"/>
                <c:pt idx="0">
                  <c:v>Average of Housing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Sheet2!$L$13</c:f>
              <c:numCache>
                <c:formatCode>General</c:formatCode>
                <c:ptCount val="1"/>
                <c:pt idx="0">
                  <c:v>139.25599999999991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25F-4231-9F5A-355BAE1C3085}"/>
            </c:ext>
          </c:extLst>
        </c:ser>
        <c:ser>
          <c:idx val="10"/>
          <c:order val="10"/>
          <c:tx>
            <c:strRef>
              <c:f>Sheet2!$M$12</c:f>
              <c:strCache>
                <c:ptCount val="1"/>
                <c:pt idx="0">
                  <c:v>Average of Miscellaneous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Sheet2!$M$13</c:f>
              <c:numCache>
                <c:formatCode>General</c:formatCode>
                <c:ptCount val="1"/>
                <c:pt idx="0">
                  <c:v>134.23579234972684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5F-4231-9F5A-355BAE1C3085}"/>
            </c:ext>
          </c:extLst>
        </c:ser>
        <c:ser>
          <c:idx val="11"/>
          <c:order val="11"/>
          <c:tx>
            <c:strRef>
              <c:f>Sheet2!$N$12</c:f>
              <c:strCache>
                <c:ptCount val="1"/>
                <c:pt idx="0">
                  <c:v>Average of Clothing and footwear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Sheet2!$C$13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Sheet2!$N$13</c:f>
              <c:numCache>
                <c:formatCode>General</c:formatCode>
                <c:ptCount val="1"/>
                <c:pt idx="0">
                  <c:v>141.67431693989073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25F-4231-9F5A-355BAE1C3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708704"/>
        <c:axId val="1245141552"/>
      </c:barChart>
      <c:catAx>
        <c:axId val="12497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41552"/>
        <c:crosses val="autoZero"/>
        <c:auto val="1"/>
        <c:lblAlgn val="ctr"/>
        <c:lblOffset val="100"/>
        <c:noMultiLvlLbl val="0"/>
      </c:catAx>
      <c:valAx>
        <c:axId val="12451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Sheet1!$C$34</c:f>
              <c:strCache>
                <c:ptCount val="1"/>
                <c:pt idx="0">
                  <c:v>Y-O-Y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0.12705519181897135"/>
                  <c:y val="-4.850856021638071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811558811558811"/>
                      <c:h val="0.1108878380493700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D41-4DB0-B37A-6FA38F8954BF}"/>
                </c:ext>
              </c:extLst>
            </c:dLbl>
            <c:dLbl>
              <c:idx val="2"/>
              <c:layout>
                <c:manualLayout>
                  <c:x val="-7.6180381298491529E-2"/>
                  <c:y val="2.546222984262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41-4DB0-B37A-6FA38F8954BF}"/>
                </c:ext>
              </c:extLst>
            </c:dLbl>
            <c:dLbl>
              <c:idx val="3"/>
              <c:layout>
                <c:manualLayout>
                  <c:x val="-6.8040373158483394E-2"/>
                  <c:y val="-3.001627223781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41-4DB0-B37A-6FA38F8954BF}"/>
                </c:ext>
              </c:extLst>
            </c:dLbl>
            <c:dLbl>
              <c:idx val="4"/>
              <c:layout>
                <c:manualLayout>
                  <c:x val="-6.8040373158483464E-2"/>
                  <c:y val="2.5462229842628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41-4DB0-B37A-6FA38F8954BF}"/>
                </c:ext>
              </c:extLst>
            </c:dLbl>
            <c:dLbl>
              <c:idx val="6"/>
              <c:layout>
                <c:manualLayout>
                  <c:x val="-3.051076948714759E-2"/>
                  <c:y val="2.5462229842628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41-4DB0-B37A-6FA38F8954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Sheet1!$B$35:$B$41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Sheet1!$C$35:$C$41</c:f>
              <c:numCache>
                <c:formatCode>General</c:formatCode>
                <c:ptCount val="7"/>
                <c:pt idx="1">
                  <c:v>3.9609321310314436</c:v>
                </c:pt>
                <c:pt idx="2">
                  <c:v>3.9358550145593822</c:v>
                </c:pt>
                <c:pt idx="3">
                  <c:v>6.3851393969975749</c:v>
                </c:pt>
                <c:pt idx="4">
                  <c:v>5.2740276962543087</c:v>
                </c:pt>
                <c:pt idx="5">
                  <c:v>6.6029943211151423</c:v>
                </c:pt>
                <c:pt idx="6">
                  <c:v>3.1953121216523472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41-4DB0-B37A-6FA38F8954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30491328"/>
        <c:axId val="1245154512"/>
      </c:lineChart>
      <c:catAx>
        <c:axId val="16304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54512"/>
        <c:crosses val="autoZero"/>
        <c:auto val="1"/>
        <c:lblAlgn val="ctr"/>
        <c:lblOffset val="100"/>
        <c:noMultiLvlLbl val="0"/>
      </c:catAx>
      <c:valAx>
        <c:axId val="124515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49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Sheet2!$F$131:$F$132</c:f>
              <c:strCache>
                <c:ptCount val="2"/>
                <c:pt idx="0">
                  <c:v>MOM Change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Sheet2!$D$133:$D$143</c:f>
              <c:strCache>
                <c:ptCount val="11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</c:strCache>
            </c:strRef>
          </c:cat>
          <c:val>
            <c:numRef>
              <c:f>Sheet2!$F$133:$F$143</c:f>
              <c:numCache>
                <c:formatCode>General</c:formatCode>
                <c:ptCount val="11"/>
                <c:pt idx="0">
                  <c:v>5.6969236612226165E-2</c:v>
                </c:pt>
                <c:pt idx="1">
                  <c:v>0.70222053520593009</c:v>
                </c:pt>
                <c:pt idx="2">
                  <c:v>0.8480964945344891</c:v>
                </c:pt>
                <c:pt idx="3">
                  <c:v>0.97178097551858711</c:v>
                </c:pt>
                <c:pt idx="4">
                  <c:v>-0.75883768276882058</c:v>
                </c:pt>
                <c:pt idx="5">
                  <c:v>-1.3614323013801</c:v>
                </c:pt>
                <c:pt idx="6">
                  <c:v>0.43486481376444036</c:v>
                </c:pt>
                <c:pt idx="7">
                  <c:v>0.24472891566263666</c:v>
                </c:pt>
                <c:pt idx="8">
                  <c:v>1.8779342723003627E-2</c:v>
                </c:pt>
                <c:pt idx="9">
                  <c:v>0.54449868569282867</c:v>
                </c:pt>
                <c:pt idx="10">
                  <c:v>0.65359477124182475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8-4233-BECB-A529A082E5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8277568"/>
        <c:axId val="1237374096"/>
      </c:barChart>
      <c:catAx>
        <c:axId val="175827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374096"/>
        <c:crosses val="autoZero"/>
        <c:auto val="1"/>
        <c:lblAlgn val="ctr"/>
        <c:lblOffset val="100"/>
        <c:noMultiLvlLbl val="0"/>
      </c:catAx>
      <c:valAx>
        <c:axId val="12373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7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Sheet2!$D$177:$P$177</c:f>
              <c:strCache>
                <c:ptCount val="13"/>
                <c:pt idx="0">
                  <c:v>Average of Cereals and products</c:v>
                </c:pt>
                <c:pt idx="1">
                  <c:v>Average of Non-alcoholic beverages</c:v>
                </c:pt>
                <c:pt idx="2">
                  <c:v>Average of Sugar and Confectionery</c:v>
                </c:pt>
                <c:pt idx="3">
                  <c:v>Average of Food and beverages</c:v>
                </c:pt>
                <c:pt idx="4">
                  <c:v>Average of Prepared meals, snacks, sweets etc.</c:v>
                </c:pt>
                <c:pt idx="5">
                  <c:v>Average of Milk and products</c:v>
                </c:pt>
                <c:pt idx="6">
                  <c:v>Average of Vegetables</c:v>
                </c:pt>
                <c:pt idx="7">
                  <c:v>Average of Spices</c:v>
                </c:pt>
                <c:pt idx="8">
                  <c:v>Average of Pulses and products</c:v>
                </c:pt>
                <c:pt idx="9">
                  <c:v>Average of Meat and fish</c:v>
                </c:pt>
                <c:pt idx="10">
                  <c:v>Average of Oils and fats</c:v>
                </c:pt>
                <c:pt idx="11">
                  <c:v>Average of Fruits</c:v>
                </c:pt>
                <c:pt idx="12">
                  <c:v>Average of Egg</c:v>
                </c:pt>
              </c:strCache>
            </c:strRef>
          </c:cat>
          <c:val>
            <c:numRef>
              <c:f>Sheet2!$D$178:$P$178</c:f>
              <c:numCache>
                <c:formatCode>General</c:formatCode>
                <c:ptCount val="13"/>
                <c:pt idx="0">
                  <c:v>167.4722222222222</c:v>
                </c:pt>
                <c:pt idx="1">
                  <c:v>169.91388888888889</c:v>
                </c:pt>
                <c:pt idx="2">
                  <c:v>121.36388888888888</c:v>
                </c:pt>
                <c:pt idx="3">
                  <c:v>177.65000000000003</c:v>
                </c:pt>
                <c:pt idx="4">
                  <c:v>189.78888888888889</c:v>
                </c:pt>
                <c:pt idx="5">
                  <c:v>172.89722222222224</c:v>
                </c:pt>
                <c:pt idx="6">
                  <c:v>175.79722222222213</c:v>
                </c:pt>
                <c:pt idx="7">
                  <c:v>202.15277777777777</c:v>
                </c:pt>
                <c:pt idx="8">
                  <c:v>169.89722222222218</c:v>
                </c:pt>
                <c:pt idx="9">
                  <c:v>211.24722222222215</c:v>
                </c:pt>
                <c:pt idx="10">
                  <c:v>184.80277777777775</c:v>
                </c:pt>
                <c:pt idx="11">
                  <c:v>167.68333333333331</c:v>
                </c:pt>
                <c:pt idx="12">
                  <c:v>176.49722222222215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6-4424-8A20-1B841D75C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6201072"/>
        <c:axId val="1815641328"/>
      </c:barChart>
      <c:catAx>
        <c:axId val="164620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641328"/>
        <c:crosses val="autoZero"/>
        <c:auto val="1"/>
        <c:lblAlgn val="ctr"/>
        <c:lblOffset val="100"/>
        <c:noMultiLvlLbl val="0"/>
      </c:catAx>
      <c:valAx>
        <c:axId val="181564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20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Sheet2!$D$177:$P$177</c:f>
              <c:strCache>
                <c:ptCount val="13"/>
                <c:pt idx="0">
                  <c:v>Average of Cereals and products</c:v>
                </c:pt>
                <c:pt idx="1">
                  <c:v>Average of Non-alcoholic beverages</c:v>
                </c:pt>
                <c:pt idx="2">
                  <c:v>Average of Sugar and Confectionery</c:v>
                </c:pt>
                <c:pt idx="3">
                  <c:v>Average of Food and beverages</c:v>
                </c:pt>
                <c:pt idx="4">
                  <c:v>Average of Prepared meals, snacks, sweets etc.</c:v>
                </c:pt>
                <c:pt idx="5">
                  <c:v>Average of Milk and products</c:v>
                </c:pt>
                <c:pt idx="6">
                  <c:v>Average of Vegetables</c:v>
                </c:pt>
                <c:pt idx="7">
                  <c:v>Average of Spices</c:v>
                </c:pt>
                <c:pt idx="8">
                  <c:v>Average of Pulses and products</c:v>
                </c:pt>
                <c:pt idx="9">
                  <c:v>Average of Meat and fish</c:v>
                </c:pt>
                <c:pt idx="10">
                  <c:v>Average of Oils and fats</c:v>
                </c:pt>
                <c:pt idx="11">
                  <c:v>Average of Fruits</c:v>
                </c:pt>
                <c:pt idx="12">
                  <c:v>Average of Egg</c:v>
                </c:pt>
              </c:strCache>
            </c:strRef>
          </c:cat>
          <c:val>
            <c:numRef>
              <c:f>Sheet2!$D$181:$P$181</c:f>
              <c:numCache>
                <c:formatCode>General</c:formatCode>
                <c:ptCount val="13"/>
                <c:pt idx="0">
                  <c:v>18.433333333333309</c:v>
                </c:pt>
                <c:pt idx="1">
                  <c:v>5.5999999999999943</c:v>
                </c:pt>
                <c:pt idx="2">
                  <c:v>2.8000000000000114</c:v>
                </c:pt>
                <c:pt idx="3">
                  <c:v>4.1333333333333258</c:v>
                </c:pt>
                <c:pt idx="4">
                  <c:v>10.300000000000011</c:v>
                </c:pt>
                <c:pt idx="5">
                  <c:v>13.633333333333326</c:v>
                </c:pt>
                <c:pt idx="6">
                  <c:v>-22.133333333333326</c:v>
                </c:pt>
                <c:pt idx="7">
                  <c:v>30.466666666666669</c:v>
                </c:pt>
                <c:pt idx="8">
                  <c:v>11.633333333333326</c:v>
                </c:pt>
                <c:pt idx="9">
                  <c:v>-4.9333333333333087</c:v>
                </c:pt>
                <c:pt idx="10">
                  <c:v>-29.966666666666697</c:v>
                </c:pt>
                <c:pt idx="11">
                  <c:v>2.466666666666697</c:v>
                </c:pt>
                <c:pt idx="12">
                  <c:v>2.5666666666666345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1-4B66-B502-A29835D80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9516944"/>
        <c:axId val="1815721488"/>
      </c:barChart>
      <c:catAx>
        <c:axId val="1859516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721488"/>
        <c:crosses val="autoZero"/>
        <c:auto val="1"/>
        <c:lblAlgn val="ctr"/>
        <c:lblOffset val="100"/>
        <c:noMultiLvlLbl val="0"/>
      </c:catAx>
      <c:valAx>
        <c:axId val="181572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51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Sheet2!$C$218</c:f>
              <c:strCache>
                <c:ptCount val="1"/>
                <c:pt idx="0">
                  <c:v>Before mar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Sheet2!$D$217:$H$217</c:f>
              <c:strCache>
                <c:ptCount val="5"/>
                <c:pt idx="0">
                  <c:v>Average of Food and beverages</c:v>
                </c:pt>
                <c:pt idx="1">
                  <c:v>Average of Fuel and light</c:v>
                </c:pt>
                <c:pt idx="2">
                  <c:v>Average of Household goods and services</c:v>
                </c:pt>
                <c:pt idx="3">
                  <c:v>Average of Health</c:v>
                </c:pt>
                <c:pt idx="4">
                  <c:v>Average of General index</c:v>
                </c:pt>
              </c:strCache>
            </c:strRef>
          </c:cat>
          <c:val>
            <c:numRef>
              <c:f>Sheet2!$D$218:$H$218</c:f>
              <c:numCache>
                <c:formatCode>General</c:formatCode>
                <c:ptCount val="5"/>
                <c:pt idx="0">
                  <c:v>140.9780701754386</c:v>
                </c:pt>
                <c:pt idx="1">
                  <c:v>136.18070175438595</c:v>
                </c:pt>
                <c:pt idx="2">
                  <c:v>138.54122807017541</c:v>
                </c:pt>
                <c:pt idx="3">
                  <c:v>138.41666666666663</c:v>
                </c:pt>
                <c:pt idx="4">
                  <c:v>139.41578947368421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5-4C27-89C6-6ED33E47D1D5}"/>
            </c:ext>
          </c:extLst>
        </c:ser>
        <c:ser>
          <c:idx val="1"/>
          <c:order val="1"/>
          <c:tx>
            <c:strRef>
              <c:f>Sheet2!$C$219</c:f>
              <c:strCache>
                <c:ptCount val="1"/>
                <c:pt idx="0">
                  <c:v>after mar 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Sheet2!$D$217:$H$217</c:f>
              <c:strCache>
                <c:ptCount val="5"/>
                <c:pt idx="0">
                  <c:v>Average of Food and beverages</c:v>
                </c:pt>
                <c:pt idx="1">
                  <c:v>Average of Fuel and light</c:v>
                </c:pt>
                <c:pt idx="2">
                  <c:v>Average of Household goods and services</c:v>
                </c:pt>
                <c:pt idx="3">
                  <c:v>Average of Health</c:v>
                </c:pt>
                <c:pt idx="4">
                  <c:v>Average of General index</c:v>
                </c:pt>
              </c:strCache>
            </c:strRef>
          </c:cat>
          <c:val>
            <c:numRef>
              <c:f>Sheet2!$D$219:$H$219</c:f>
              <c:numCache>
                <c:formatCode>General</c:formatCode>
                <c:ptCount val="5"/>
                <c:pt idx="0">
                  <c:v>167.77747747747742</c:v>
                </c:pt>
                <c:pt idx="1">
                  <c:v>163.61891891891889</c:v>
                </c:pt>
                <c:pt idx="2">
                  <c:v>160.14722222222224</c:v>
                </c:pt>
                <c:pt idx="3">
                  <c:v>168.68108108108106</c:v>
                </c:pt>
                <c:pt idx="4">
                  <c:v>165.9814814814815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5-4C27-89C6-6ED33E47D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8245552"/>
        <c:axId val="1815762288"/>
      </c:barChart>
      <c:catAx>
        <c:axId val="175824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762288"/>
        <c:crosses val="autoZero"/>
        <c:auto val="1"/>
        <c:lblAlgn val="ctr"/>
        <c:lblOffset val="100"/>
        <c:noMultiLvlLbl val="0"/>
      </c:catAx>
      <c:valAx>
        <c:axId val="181576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4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Sheet2!$C$249</c:f>
              <c:strCache>
                <c:ptCount val="1"/>
                <c:pt idx="0">
                  <c:v>Change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91-43D4-86AE-1E5D5E0532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91-43D4-86AE-1E5D5E0532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91-43D4-86AE-1E5D5E0532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91-43D4-86AE-1E5D5E0532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91-43D4-86AE-1E5D5E0532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Sheet2!$D$248:$H$248</c:f>
              <c:strCache>
                <c:ptCount val="5"/>
                <c:pt idx="0">
                  <c:v>Average of Food and beverages</c:v>
                </c:pt>
                <c:pt idx="1">
                  <c:v>Average of Fuel and light</c:v>
                </c:pt>
                <c:pt idx="2">
                  <c:v>Average of Household goods and services</c:v>
                </c:pt>
                <c:pt idx="3">
                  <c:v>Average of Health</c:v>
                </c:pt>
                <c:pt idx="4">
                  <c:v>Average of General index</c:v>
                </c:pt>
              </c:strCache>
            </c:strRef>
          </c:cat>
          <c:val>
            <c:numRef>
              <c:f>Sheet2!$D$249:$H$249</c:f>
              <c:numCache>
                <c:formatCode>General</c:formatCode>
                <c:ptCount val="5"/>
                <c:pt idx="0">
                  <c:v>19.009628425675416</c:v>
                </c:pt>
                <c:pt idx="1">
                  <c:v>20.148388729865864</c:v>
                </c:pt>
                <c:pt idx="2">
                  <c:v>15.595353421511993</c:v>
                </c:pt>
                <c:pt idx="3">
                  <c:v>21.86471842100983</c:v>
                </c:pt>
                <c:pt idx="4">
                  <c:v>19.055009556727256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91-43D4-86AE-1E5D5E05325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Sheet2!$C$22:$N$22</c:f>
              <c:strCache>
                <c:ptCount val="12"/>
                <c:pt idx="0">
                  <c:v>Average of Education</c:v>
                </c:pt>
                <c:pt idx="1">
                  <c:v>Average of Food and beverages</c:v>
                </c:pt>
                <c:pt idx="2">
                  <c:v>Average of Household goods and services</c:v>
                </c:pt>
                <c:pt idx="3">
                  <c:v>Average of Transport and communication</c:v>
                </c:pt>
                <c:pt idx="4">
                  <c:v>Average of Fuel and light</c:v>
                </c:pt>
                <c:pt idx="5">
                  <c:v>Average of Recreation and amusement</c:v>
                </c:pt>
                <c:pt idx="6">
                  <c:v>Average of Personal care and effects</c:v>
                </c:pt>
                <c:pt idx="7">
                  <c:v>Average of Pan, tobacco and intoxicants</c:v>
                </c:pt>
                <c:pt idx="8">
                  <c:v>Average of Health</c:v>
                </c:pt>
                <c:pt idx="9">
                  <c:v>Average of Housing</c:v>
                </c:pt>
                <c:pt idx="10">
                  <c:v>Average of Miscellaneous</c:v>
                </c:pt>
                <c:pt idx="11">
                  <c:v>Average of Clothing and footwear</c:v>
                </c:pt>
              </c:strCache>
            </c:strRef>
          </c:cat>
          <c:val>
            <c:numRef>
              <c:f>Sheet2!$C$24:$N$24</c:f>
              <c:numCache>
                <c:formatCode>0.00</c:formatCode>
                <c:ptCount val="12"/>
                <c:pt idx="0">
                  <c:v>8.258653197085728</c:v>
                </c:pt>
                <c:pt idx="1">
                  <c:v>8.3641752597316934</c:v>
                </c:pt>
                <c:pt idx="2">
                  <c:v>8.1484757493230262</c:v>
                </c:pt>
                <c:pt idx="3">
                  <c:v>7.6798336475718276</c:v>
                </c:pt>
                <c:pt idx="4">
                  <c:v>8.5146993785060872</c:v>
                </c:pt>
                <c:pt idx="5">
                  <c:v>7.9793300900817012</c:v>
                </c:pt>
                <c:pt idx="6">
                  <c:v>8.6233250312298733</c:v>
                </c:pt>
                <c:pt idx="7">
                  <c:v>9.3899117804520387</c:v>
                </c:pt>
                <c:pt idx="8">
                  <c:v>8.623325031229875</c:v>
                </c:pt>
                <c:pt idx="9">
                  <c:v>7.6107787683402766</c:v>
                </c:pt>
                <c:pt idx="10">
                  <c:v>8.1748562649845198</c:v>
                </c:pt>
                <c:pt idx="11">
                  <c:v>8.6326358014633406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5-4921-8E5B-377C11F15F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48516240"/>
        <c:axId val="1202286288"/>
      </c:barChart>
      <c:catAx>
        <c:axId val="134851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86288"/>
        <c:crosses val="autoZero"/>
        <c:auto val="1"/>
        <c:lblAlgn val="ctr"/>
        <c:lblOffset val="100"/>
        <c:noMultiLvlLbl val="0"/>
      </c:catAx>
      <c:valAx>
        <c:axId val="120228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51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Sheet2!$C$22:$N$22</c:f>
              <c:strCache>
                <c:ptCount val="12"/>
                <c:pt idx="0">
                  <c:v>Average of Education</c:v>
                </c:pt>
                <c:pt idx="1">
                  <c:v>Average of Food and beverages</c:v>
                </c:pt>
                <c:pt idx="2">
                  <c:v>Average of Household goods and services</c:v>
                </c:pt>
                <c:pt idx="3">
                  <c:v>Average of Transport and communication</c:v>
                </c:pt>
                <c:pt idx="4">
                  <c:v>Average of Fuel and light</c:v>
                </c:pt>
                <c:pt idx="5">
                  <c:v>Average of Recreation and amusement</c:v>
                </c:pt>
                <c:pt idx="6">
                  <c:v>Average of Personal care and effects</c:v>
                </c:pt>
                <c:pt idx="7">
                  <c:v>Average of Pan, tobacco and intoxicants</c:v>
                </c:pt>
                <c:pt idx="8">
                  <c:v>Average of Health</c:v>
                </c:pt>
                <c:pt idx="9">
                  <c:v>Average of Housing</c:v>
                </c:pt>
                <c:pt idx="10">
                  <c:v>Average of Miscellaneous</c:v>
                </c:pt>
                <c:pt idx="11">
                  <c:v>Average of Clothing and footwear</c:v>
                </c:pt>
              </c:strCache>
            </c:strRef>
          </c:cat>
          <c:val>
            <c:numRef>
              <c:f>Sheet2!$C$23:$N$23</c:f>
              <c:numCache>
                <c:formatCode>General</c:formatCode>
                <c:ptCount val="12"/>
                <c:pt idx="0">
                  <c:v>177.4</c:v>
                </c:pt>
                <c:pt idx="1">
                  <c:v>179.66666666666666</c:v>
                </c:pt>
                <c:pt idx="2">
                  <c:v>175.0333333333333</c:v>
                </c:pt>
                <c:pt idx="3">
                  <c:v>164.96666666666667</c:v>
                </c:pt>
                <c:pt idx="4">
                  <c:v>182.9</c:v>
                </c:pt>
                <c:pt idx="5">
                  <c:v>171.4</c:v>
                </c:pt>
                <c:pt idx="6">
                  <c:v>185.23333333333332</c:v>
                </c:pt>
                <c:pt idx="7">
                  <c:v>201.70000000000002</c:v>
                </c:pt>
                <c:pt idx="8">
                  <c:v>185.23333333333335</c:v>
                </c:pt>
                <c:pt idx="9">
                  <c:v>163.48333333333332</c:v>
                </c:pt>
                <c:pt idx="10">
                  <c:v>175.6</c:v>
                </c:pt>
                <c:pt idx="11">
                  <c:v>185.43333333333331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0-4C46-ADC1-B6EF9603C2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378072640"/>
        <c:axId val="1202293968"/>
        <c:axId val="0"/>
      </c:bar3DChart>
      <c:catAx>
        <c:axId val="137807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93968"/>
        <c:crosses val="autoZero"/>
        <c:auto val="1"/>
        <c:lblAlgn val="ctr"/>
        <c:lblOffset val="100"/>
        <c:noMultiLvlLbl val="0"/>
      </c:catAx>
      <c:valAx>
        <c:axId val="120229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07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_xlchart.v2.6</cx:f>
      </cx:strDim>
      <cx:numDim type="val">
        <cx:f dir="row">_xlchart.v2.7</cx:f>
      </cx:numDim>
    </cx:data>
  </cx:chartData>
  <cx:chart>
    <cx:title pos="t" align="ctr" overlay="0"/>
    <cx:plotArea>
      <cx:plotAreaRegion>
        <cx:series layoutId="funnel" uniqueId="{2E5E2B0B-576B-4566-B2F8-44DF3F91FF8B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</cx:chartData>
  <cx:chart>
    <cx:title pos="t" align="ctr" overlay="0"/>
    <cx:plotArea>
      <cx:plotAreaRegion>
        <cx:series layoutId="clusteredColumn" uniqueId="{D6018575-AAD7-472F-A124-EFB8F9998F87}">
          <cx:tx>
            <cx:txData>
              <cx:f>_xlchart.v1.9</cx:f>
              <cx:v>correltion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309751DF-01A1-4431-942E-AE7814ABAC3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microsoft.com/office/2014/relationships/chartEx" Target="../charts/chartEx2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4</xdr:row>
      <xdr:rowOff>0</xdr:rowOff>
    </xdr:from>
    <xdr:to>
      <xdr:col>10</xdr:col>
      <xdr:colOff>106680</xdr:colOff>
      <xdr:row>26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60058-433F-431B-B0A9-8B620111C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6</xdr:row>
      <xdr:rowOff>76200</xdr:rowOff>
    </xdr:from>
    <xdr:to>
      <xdr:col>22</xdr:col>
      <xdr:colOff>0</xdr:colOff>
      <xdr:row>22</xdr:row>
      <xdr:rowOff>137160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B24DB18-BD52-40A5-A8A2-4312495140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1173480"/>
              <a:ext cx="6781800" cy="2987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32</xdr:row>
      <xdr:rowOff>125730</xdr:rowOff>
    </xdr:from>
    <xdr:to>
      <xdr:col>15</xdr:col>
      <xdr:colOff>144780</xdr:colOff>
      <xdr:row>42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B3A134-C785-50BC-8096-365AA4795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480060</xdr:colOff>
      <xdr:row>60</xdr:row>
      <xdr:rowOff>175260</xdr:rowOff>
    </xdr:from>
    <xdr:to>
      <xdr:col>13</xdr:col>
      <xdr:colOff>457200</xdr:colOff>
      <xdr:row>79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B72929-1422-48A6-B3D8-513837C61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90</xdr:row>
      <xdr:rowOff>106680</xdr:rowOff>
    </xdr:from>
    <xdr:to>
      <xdr:col>13</xdr:col>
      <xdr:colOff>441960</xdr:colOff>
      <xdr:row>107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2C7864-5A7B-481D-A374-235016D71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350520</xdr:colOff>
      <xdr:row>91</xdr:row>
      <xdr:rowOff>68580</xdr:rowOff>
    </xdr:from>
    <xdr:to>
      <xdr:col>25</xdr:col>
      <xdr:colOff>83820</xdr:colOff>
      <xdr:row>106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AF5FA1-CE55-46E7-B865-56292B985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396240</xdr:colOff>
      <xdr:row>127</xdr:row>
      <xdr:rowOff>7620</xdr:rowOff>
    </xdr:from>
    <xdr:to>
      <xdr:col>14</xdr:col>
      <xdr:colOff>106680</xdr:colOff>
      <xdr:row>146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19F7ED9-6712-4D4A-A9D5-7EE154957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457200</xdr:colOff>
      <xdr:row>127</xdr:row>
      <xdr:rowOff>175260</xdr:rowOff>
    </xdr:from>
    <xdr:to>
      <xdr:col>24</xdr:col>
      <xdr:colOff>144780</xdr:colOff>
      <xdr:row>145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E413276-1DFE-4646-82B7-514C3211C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152400</xdr:colOff>
      <xdr:row>6</xdr:row>
      <xdr:rowOff>144780</xdr:rowOff>
    </xdr:from>
    <xdr:to>
      <xdr:col>50</xdr:col>
      <xdr:colOff>144780</xdr:colOff>
      <xdr:row>21</xdr:row>
      <xdr:rowOff>144780</xdr:rowOff>
    </xdr:to>
    <xdr:graphicFrame macro="">
      <xdr:nvGraphicFramePr>
        <xdr:cNvPr id="17" name="Chart 10">
          <a:extLst>
            <a:ext uri="{FF2B5EF4-FFF2-40B4-BE49-F238E27FC236}">
              <a16:creationId xmlns:a16="http://schemas.microsoft.com/office/drawing/2014/main" id="{FC57784C-DA65-4D89-B400-CCB230B48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114300</xdr:colOff>
      <xdr:row>7</xdr:row>
      <xdr:rowOff>76200</xdr:rowOff>
    </xdr:from>
    <xdr:to>
      <xdr:col>40</xdr:col>
      <xdr:colOff>563880</xdr:colOff>
      <xdr:row>26</xdr:row>
      <xdr:rowOff>106680</xdr:rowOff>
    </xdr:to>
    <xdr:graphicFrame macro="">
      <xdr:nvGraphicFramePr>
        <xdr:cNvPr id="20" name="Chart 11">
          <a:extLst>
            <a:ext uri="{FF2B5EF4-FFF2-40B4-BE49-F238E27FC236}">
              <a16:creationId xmlns:a16="http://schemas.microsoft.com/office/drawing/2014/main" id="{28C88C4F-3AAB-47E9-9871-FE93210C0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274320</xdr:colOff>
      <xdr:row>174</xdr:row>
      <xdr:rowOff>0</xdr:rowOff>
    </xdr:from>
    <xdr:to>
      <xdr:col>13</xdr:col>
      <xdr:colOff>121920</xdr:colOff>
      <xdr:row>193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DCE911E8-226B-4B22-8E55-D5FE2BBEF0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" y="32857440"/>
              <a:ext cx="6553200" cy="361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8.037176504629" createdVersion="8" refreshedVersion="8" minRefreshableVersion="3" recordCount="372" xr:uid="{43555A4A-CAD1-46C9-B3BE-46605EE5BE60}">
  <cacheSource type="worksheet">
    <worksheetSource ref="A1:AP373" sheet="All_India_Index_Upto_April23 (1"/>
  </cacheSource>
  <cacheFields count="34">
    <cacheField name="Sector" numFmtId="0">
      <sharedItems/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</sharedItems>
    </cacheField>
    <cacheField name="Year-month" numFmtId="14">
      <sharedItems containsSemiMixedTypes="0" containsNonDate="0" containsDate="1" containsString="0" minDate="2013-01-01T00:00:00" maxDate="2023-05-02T00:00:00" count="124"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</sharedItems>
      <fieldGroup par="33"/>
    </cacheField>
    <cacheField name="Cereals and products" numFmtId="0">
      <sharedItems containsMixedTypes="1" containsNumber="1" minValue="107.5" maxValue="174.8"/>
    </cacheField>
    <cacheField name="Meat and fish" numFmtId="0">
      <sharedItems containsMixedTypes="1" containsNumber="1" minValue="106.3" maxValue="223.4"/>
    </cacheField>
    <cacheField name="Egg" numFmtId="0">
      <sharedItems containsMixedTypes="1" containsNumber="1" minValue="102.7" maxValue="197"/>
    </cacheField>
    <cacheField name="Milk and products" numFmtId="0">
      <sharedItems containsMixedTypes="1" containsNumber="1" minValue="103.6" maxValue="179.6"/>
    </cacheField>
    <cacheField name="Oils and fats" numFmtId="0">
      <sharedItems containsMixedTypes="1" containsNumber="1" minValue="101.1" maxValue="209.9"/>
    </cacheField>
    <cacheField name="Fruits" numFmtId="0">
      <sharedItems containsMixedTypes="1" containsNumber="1" minValue="102.3" maxValue="179.5"/>
    </cacheField>
    <cacheField name="Vegetables" numFmtId="0">
      <sharedItems containsMixedTypes="1" containsNumber="1" minValue="101.4" maxValue="245.3"/>
    </cacheField>
    <cacheField name="Pulses and products" numFmtId="0">
      <sharedItems containsMixedTypes="1" containsNumber="1" minValue="103.5" maxValue="191.6"/>
    </cacheField>
    <cacheField name="Sugar and Confectionery" numFmtId="0">
      <sharedItems containsMixedTypes="1" containsNumber="1" minValue="85.3" maxValue="124.2"/>
    </cacheField>
    <cacheField name="Spices" numFmtId="0">
      <sharedItems containsMixedTypes="1" containsNumber="1" minValue="101.8" maxValue="221"/>
    </cacheField>
    <cacheField name="Non-alcoholic beverages" numFmtId="0">
      <sharedItems containsMixedTypes="1" containsNumber="1" minValue="104.8" maxValue="178.7"/>
    </cacheField>
    <cacheField name="Prepared meals, snacks, sweets etc." numFmtId="0">
      <sharedItems containsMixedTypes="1" containsNumber="1" minValue="106.7" maxValue="197.7"/>
    </cacheField>
    <cacheField name="Food and beverages" numFmtId="0">
      <sharedItems containsMixedTypes="1" containsNumber="1" minValue="105.5" maxValue="183.3"/>
    </cacheField>
    <cacheField name="Pan, tobacco and intoxicants" numFmtId="0">
      <sharedItems containsMixedTypes="1" containsNumber="1" minValue="105.1" maxValue="204.2"/>
    </cacheField>
    <cacheField name="Clothing" numFmtId="0">
      <sharedItems containsMixedTypes="1" containsNumber="1" minValue="105.9" maxValue="191.2"/>
    </cacheField>
    <cacheField name="Footwear" numFmtId="0">
      <sharedItems containsMixedTypes="1" containsNumber="1" minValue="105" maxValue="187.9"/>
    </cacheField>
    <cacheField name="Clothing and footwear" numFmtId="0">
      <sharedItems containsMixedTypes="1" containsNumber="1" minValue="105.8" maxValue="190.8"/>
    </cacheField>
    <cacheField name="Housing" numFmtId="0">
      <sharedItems containsMixedTypes="1" containsNumber="1" minValue="100.3" maxValue="175.6"/>
    </cacheField>
    <cacheField name="Fuel and light" numFmtId="0">
      <sharedItems containsMixedTypes="1" containsNumber="1" minValue="105.4" maxValue="183.4"/>
    </cacheField>
    <cacheField name="Household goods and services" numFmtId="0">
      <sharedItems containsMixedTypes="1" containsNumber="1" minValue="104.8" maxValue="179.8"/>
    </cacheField>
    <cacheField name="Health" numFmtId="0">
      <sharedItems containsMixedTypes="1" containsNumber="1" minValue="104" maxValue="187.8"/>
    </cacheField>
    <cacheField name="Transport and communication" numFmtId="0">
      <sharedItems containsMixedTypes="1" containsNumber="1" minValue="103.2" maxValue="169.7"/>
    </cacheField>
    <cacheField name="Recreation and amusement" numFmtId="0">
      <sharedItems containsMixedTypes="1" containsNumber="1" minValue="102.9" maxValue="173.8"/>
    </cacheField>
    <cacheField name="Education" numFmtId="0">
      <sharedItems containsMixedTypes="1" containsNumber="1" minValue="103.5" maxValue="180.3"/>
    </cacheField>
    <cacheField name="Personal care and effects" numFmtId="0">
      <sharedItems containsMixedTypes="1" containsNumber="1" minValue="102.1" maxValue="185.6"/>
    </cacheField>
    <cacheField name="Miscellaneous" numFmtId="0">
      <sharedItems containsMixedTypes="1" containsNumber="1" minValue="103.7" maxValue="179.5"/>
    </cacheField>
    <cacheField name="General index" numFmtId="0">
      <sharedItems containsMixedTypes="1" containsNumber="1" minValue="104" maxValue="179.8"/>
    </cacheField>
    <cacheField name="Months (Year-month)" numFmtId="0" databaseField="0">
      <fieldGroup base="3">
        <rangePr groupBy="months" startDate="2013-01-01T00:00:00" endDate="2023-05-02T00:00:00"/>
        <groupItems count="14">
          <s v="&lt;1/1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23"/>
        </groupItems>
      </fieldGroup>
    </cacheField>
    <cacheField name="Quarters (Year-month)" numFmtId="0" databaseField="0">
      <fieldGroup base="3">
        <rangePr groupBy="quarters" startDate="2013-01-01T00:00:00" endDate="2023-05-02T00:00:00"/>
        <groupItems count="6">
          <s v="&lt;1/1/2013"/>
          <s v="Qtr1"/>
          <s v="Qtr2"/>
          <s v="Qtr3"/>
          <s v="Qtr4"/>
          <s v="&gt;5/2/2023"/>
        </groupItems>
      </fieldGroup>
    </cacheField>
    <cacheField name="Years (Year-month)" numFmtId="0" databaseField="0">
      <fieldGroup base="3">
        <rangePr groupBy="years" startDate="2013-01-01T00:00:00" endDate="2023-05-02T00:00:00"/>
        <groupItems count="13">
          <s v="&lt;1/1/2013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5/2/2023"/>
        </groupItems>
      </fieldGroup>
    </cacheField>
  </cacheFields>
  <extLst>
    <ext xmlns:x14="http://schemas.microsoft.com/office/spreadsheetml/2009/9/main" uri="{725AE2AE-9491-48be-B2B4-4EB974FC3084}">
      <x14:pivotCacheDefinition pivotCacheId="1055722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s v="Rural"/>
    <x v="0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  <n v="105.1"/>
  </r>
  <r>
    <s v="Urban"/>
    <x v="0"/>
    <x v="0"/>
    <x v="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</r>
  <r>
    <s v="Rural+Urban"/>
    <x v="0"/>
    <x v="0"/>
    <x v="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</r>
  <r>
    <s v="Rural"/>
    <x v="0"/>
    <x v="1"/>
    <x v="1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  <n v="105.8"/>
  </r>
  <r>
    <s v="Urban"/>
    <x v="0"/>
    <x v="1"/>
    <x v="1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</r>
  <r>
    <s v="Rural+Urban"/>
    <x v="0"/>
    <x v="1"/>
    <x v="1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</r>
  <r>
    <s v="Rural"/>
    <x v="0"/>
    <x v="2"/>
    <x v="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  <n v="106"/>
  </r>
  <r>
    <s v="Urban"/>
    <x v="0"/>
    <x v="2"/>
    <x v="2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</r>
  <r>
    <s v="Rural+Urban"/>
    <x v="0"/>
    <x v="2"/>
    <x v="2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</r>
  <r>
    <s v="Rural"/>
    <x v="0"/>
    <x v="3"/>
    <x v="3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  <n v="106.4"/>
  </r>
  <r>
    <s v="Urban"/>
    <x v="0"/>
    <x v="3"/>
    <x v="3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</r>
  <r>
    <s v="Rural+Urban"/>
    <x v="0"/>
    <x v="3"/>
    <x v="3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</r>
  <r>
    <s v="Rural"/>
    <x v="0"/>
    <x v="4"/>
    <x v="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  <n v="107.2"/>
  </r>
  <r>
    <s v="Urban"/>
    <x v="0"/>
    <x v="4"/>
    <x v="4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</r>
  <r>
    <s v="Rural+Urban"/>
    <x v="0"/>
    <x v="4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</r>
  <r>
    <s v="Rural"/>
    <x v="0"/>
    <x v="5"/>
    <x v="5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  <n v="108.9"/>
  </r>
  <r>
    <s v="Urban"/>
    <x v="0"/>
    <x v="5"/>
    <x v="5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</r>
  <r>
    <s v="Rural+Urban"/>
    <x v="0"/>
    <x v="5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</r>
  <r>
    <s v="Rural"/>
    <x v="0"/>
    <x v="6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  <n v="110.7"/>
  </r>
  <r>
    <s v="Urban"/>
    <x v="0"/>
    <x v="6"/>
    <x v="6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</r>
  <r>
    <s v="Rural+Urban"/>
    <x v="0"/>
    <x v="6"/>
    <x v="6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</r>
  <r>
    <s v="Rural"/>
    <x v="0"/>
    <x v="7"/>
    <x v="7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  <n v="112.1"/>
  </r>
  <r>
    <s v="Urban"/>
    <x v="0"/>
    <x v="7"/>
    <x v="7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</r>
  <r>
    <s v="Rural+Urban"/>
    <x v="0"/>
    <x v="7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</r>
  <r>
    <s v="Rural"/>
    <x v="0"/>
    <x v="8"/>
    <x v="8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  <n v="114.2"/>
  </r>
  <r>
    <s v="Urban"/>
    <x v="0"/>
    <x v="8"/>
    <x v="8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</r>
  <r>
    <s v="Rural+Urban"/>
    <x v="0"/>
    <x v="8"/>
    <x v="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</r>
  <r>
    <s v="Rural"/>
    <x v="0"/>
    <x v="9"/>
    <x v="9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  <n v="115.5"/>
  </r>
  <r>
    <s v="Urban"/>
    <x v="0"/>
    <x v="9"/>
    <x v="9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</r>
  <r>
    <s v="Rural+Urban"/>
    <x v="0"/>
    <x v="9"/>
    <x v="9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</r>
  <r>
    <s v="Rural"/>
    <x v="0"/>
    <x v="10"/>
    <x v="1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  <n v="117.4"/>
  </r>
  <r>
    <s v="Urban"/>
    <x v="0"/>
    <x v="11"/>
    <x v="10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</r>
  <r>
    <s v="Rural+Urban"/>
    <x v="0"/>
    <x v="11"/>
    <x v="10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</r>
  <r>
    <s v="Rural"/>
    <x v="0"/>
    <x v="12"/>
    <x v="11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  <n v="115.5"/>
  </r>
  <r>
    <s v="Urban"/>
    <x v="0"/>
    <x v="12"/>
    <x v="11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</r>
  <r>
    <s v="Rural+Urban"/>
    <x v="0"/>
    <x v="12"/>
    <x v="11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</r>
  <r>
    <s v="Rural"/>
    <x v="1"/>
    <x v="0"/>
    <x v="12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  <n v="114.2"/>
  </r>
  <r>
    <s v="Urban"/>
    <x v="1"/>
    <x v="0"/>
    <x v="12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</r>
  <r>
    <s v="Rural+Urban"/>
    <x v="1"/>
    <x v="0"/>
    <x v="12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</r>
  <r>
    <s v="Rural"/>
    <x v="1"/>
    <x v="1"/>
    <x v="13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  <n v="114"/>
  </r>
  <r>
    <s v="Urban"/>
    <x v="1"/>
    <x v="1"/>
    <x v="13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</r>
  <r>
    <s v="Rural+Urban"/>
    <x v="1"/>
    <x v="1"/>
    <x v="13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</r>
  <r>
    <s v="Rural"/>
    <x v="1"/>
    <x v="2"/>
    <x v="14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  <n v="114.6"/>
  </r>
  <r>
    <s v="Urban"/>
    <x v="1"/>
    <x v="2"/>
    <x v="14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</r>
  <r>
    <s v="Rural+Urban"/>
    <x v="1"/>
    <x v="2"/>
    <x v="14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</r>
  <r>
    <s v="Rural"/>
    <x v="1"/>
    <x v="3"/>
    <x v="15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  <n v="115.4"/>
  </r>
  <r>
    <s v="Urban"/>
    <x v="1"/>
    <x v="3"/>
    <x v="15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</r>
  <r>
    <s v="Rural+Urban"/>
    <x v="1"/>
    <x v="3"/>
    <x v="15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</r>
  <r>
    <s v="Rural"/>
    <x v="1"/>
    <x v="4"/>
    <x v="16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  <n v="116"/>
  </r>
  <r>
    <s v="Urban"/>
    <x v="1"/>
    <x v="4"/>
    <x v="16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</r>
  <r>
    <s v="Rural+Urban"/>
    <x v="1"/>
    <x v="4"/>
    <x v="16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</r>
  <r>
    <s v="Rural"/>
    <x v="1"/>
    <x v="5"/>
    <x v="17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  <n v="117"/>
  </r>
  <r>
    <s v="Urban"/>
    <x v="1"/>
    <x v="5"/>
    <x v="17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</r>
  <r>
    <s v="Rural+Urban"/>
    <x v="1"/>
    <x v="5"/>
    <x v="17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</r>
  <r>
    <s v="Rural"/>
    <x v="1"/>
    <x v="6"/>
    <x v="18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  <n v="119.5"/>
  </r>
  <r>
    <s v="Urban"/>
    <x v="1"/>
    <x v="6"/>
    <x v="18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</r>
  <r>
    <s v="Rural+Urban"/>
    <x v="1"/>
    <x v="6"/>
    <x v="18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</r>
  <r>
    <s v="Rural"/>
    <x v="1"/>
    <x v="7"/>
    <x v="19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  <n v="120.7"/>
  </r>
  <r>
    <s v="Urban"/>
    <x v="1"/>
    <x v="7"/>
    <x v="19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</r>
  <r>
    <s v="Rural+Urban"/>
    <x v="1"/>
    <x v="7"/>
    <x v="19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</r>
  <r>
    <s v="Rural"/>
    <x v="1"/>
    <x v="8"/>
    <x v="20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  <n v="120.9"/>
  </r>
  <r>
    <s v="Urban"/>
    <x v="1"/>
    <x v="8"/>
    <x v="20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</r>
  <r>
    <s v="Rural+Urban"/>
    <x v="1"/>
    <x v="8"/>
    <x v="20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</r>
  <r>
    <s v="Rural"/>
    <x v="1"/>
    <x v="9"/>
    <x v="21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  <n v="121"/>
  </r>
  <r>
    <s v="Urban"/>
    <x v="1"/>
    <x v="9"/>
    <x v="21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</r>
  <r>
    <s v="Rural+Urban"/>
    <x v="1"/>
    <x v="9"/>
    <x v="21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</r>
  <r>
    <s v="Rural"/>
    <x v="1"/>
    <x v="11"/>
    <x v="22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  <n v="121.1"/>
  </r>
  <r>
    <s v="Urban"/>
    <x v="1"/>
    <x v="11"/>
    <x v="22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</r>
  <r>
    <s v="Rural+Urban"/>
    <x v="1"/>
    <x v="11"/>
    <x v="22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</r>
  <r>
    <s v="Rural"/>
    <x v="1"/>
    <x v="12"/>
    <x v="23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  <n v="120.3"/>
  </r>
  <r>
    <s v="Urban"/>
    <x v="1"/>
    <x v="12"/>
    <x v="23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</r>
  <r>
    <s v="Rural+Urban"/>
    <x v="1"/>
    <x v="12"/>
    <x v="23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</r>
  <r>
    <s v="Rural"/>
    <x v="2"/>
    <x v="0"/>
    <x v="24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  <n v="120.3"/>
  </r>
  <r>
    <s v="Urban"/>
    <x v="2"/>
    <x v="0"/>
    <x v="24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</r>
  <r>
    <s v="Rural+Urban"/>
    <x v="2"/>
    <x v="0"/>
    <x v="24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</r>
  <r>
    <s v="Rural"/>
    <x v="2"/>
    <x v="1"/>
    <x v="25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  <n v="120.6"/>
  </r>
  <r>
    <s v="Urban"/>
    <x v="2"/>
    <x v="1"/>
    <x v="25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</r>
  <r>
    <s v="Rural+Urban"/>
    <x v="2"/>
    <x v="1"/>
    <x v="25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</r>
  <r>
    <s v="Rural"/>
    <x v="2"/>
    <x v="2"/>
    <x v="26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  <n v="121.1"/>
  </r>
  <r>
    <s v="Urban"/>
    <x v="2"/>
    <x v="2"/>
    <x v="26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</r>
  <r>
    <s v="Rural+Urban"/>
    <x v="2"/>
    <x v="2"/>
    <x v="26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</r>
  <r>
    <s v="Rural"/>
    <x v="2"/>
    <x v="3"/>
    <x v="27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  <n v="121.5"/>
  </r>
  <r>
    <s v="Urban"/>
    <x v="2"/>
    <x v="3"/>
    <x v="27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</r>
  <r>
    <s v="Rural+Urban"/>
    <x v="2"/>
    <x v="3"/>
    <x v="27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</r>
  <r>
    <s v="Rural"/>
    <x v="2"/>
    <x v="4"/>
    <x v="28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  <n v="122.4"/>
  </r>
  <r>
    <s v="Urban"/>
    <x v="2"/>
    <x v="4"/>
    <x v="28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</r>
  <r>
    <s v="Rural+Urban"/>
    <x v="2"/>
    <x v="4"/>
    <x v="28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</r>
  <r>
    <s v="Rural"/>
    <x v="2"/>
    <x v="5"/>
    <x v="29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  <n v="124.1"/>
  </r>
  <r>
    <s v="Urban"/>
    <x v="2"/>
    <x v="5"/>
    <x v="29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</r>
  <r>
    <s v="Rural+Urban"/>
    <x v="2"/>
    <x v="5"/>
    <x v="29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</r>
  <r>
    <s v="Rural"/>
    <x v="2"/>
    <x v="6"/>
    <x v="30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  <n v="124.7"/>
  </r>
  <r>
    <s v="Urban"/>
    <x v="2"/>
    <x v="6"/>
    <x v="30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</r>
  <r>
    <s v="Rural+Urban"/>
    <x v="2"/>
    <x v="6"/>
    <x v="30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</r>
  <r>
    <s v="Rural"/>
    <x v="2"/>
    <x v="7"/>
    <x v="31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  <n v="126.1"/>
  </r>
  <r>
    <s v="Urban"/>
    <x v="2"/>
    <x v="7"/>
    <x v="31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</r>
  <r>
    <s v="Rural+Urban"/>
    <x v="2"/>
    <x v="7"/>
    <x v="31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</r>
  <r>
    <s v="Rural"/>
    <x v="2"/>
    <x v="8"/>
    <x v="32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  <n v="127"/>
  </r>
  <r>
    <s v="Urban"/>
    <x v="2"/>
    <x v="8"/>
    <x v="32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</r>
  <r>
    <s v="Rural+Urban"/>
    <x v="2"/>
    <x v="8"/>
    <x v="32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</r>
  <r>
    <s v="Rural"/>
    <x v="2"/>
    <x v="9"/>
    <x v="33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  <n v="127.7"/>
  </r>
  <r>
    <s v="Urban"/>
    <x v="2"/>
    <x v="9"/>
    <x v="33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</r>
  <r>
    <s v="Rural+Urban"/>
    <x v="2"/>
    <x v="9"/>
    <x v="33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</r>
  <r>
    <s v="Rural"/>
    <x v="2"/>
    <x v="11"/>
    <x v="34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  <n v="128.30000000000001"/>
  </r>
  <r>
    <s v="Urban"/>
    <x v="2"/>
    <x v="11"/>
    <x v="34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</r>
  <r>
    <s v="Rural+Urban"/>
    <x v="2"/>
    <x v="11"/>
    <x v="34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</r>
  <r>
    <s v="Rural"/>
    <x v="2"/>
    <x v="12"/>
    <x v="35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  <n v="127.9"/>
  </r>
  <r>
    <s v="Urban"/>
    <x v="2"/>
    <x v="12"/>
    <x v="35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</r>
  <r>
    <s v="Rural+Urban"/>
    <x v="2"/>
    <x v="12"/>
    <x v="35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</r>
  <r>
    <s v="Rural"/>
    <x v="3"/>
    <x v="0"/>
    <x v="36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  <n v="128.1"/>
  </r>
  <r>
    <s v="Urban"/>
    <x v="3"/>
    <x v="0"/>
    <x v="36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</r>
  <r>
    <s v="Rural+Urban"/>
    <x v="3"/>
    <x v="0"/>
    <x v="36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</r>
  <r>
    <s v="Rural"/>
    <x v="3"/>
    <x v="1"/>
    <x v="37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  <n v="127.9"/>
  </r>
  <r>
    <s v="Urban"/>
    <x v="3"/>
    <x v="1"/>
    <x v="37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</r>
  <r>
    <s v="Rural+Urban"/>
    <x v="3"/>
    <x v="1"/>
    <x v="37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</r>
  <r>
    <s v="Rural"/>
    <x v="3"/>
    <x v="2"/>
    <x v="38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  <n v="128"/>
  </r>
  <r>
    <s v="Urban"/>
    <x v="3"/>
    <x v="2"/>
    <x v="38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</r>
  <r>
    <s v="Rural+Urban"/>
    <x v="3"/>
    <x v="2"/>
    <x v="38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</r>
  <r>
    <s v="Rural"/>
    <x v="3"/>
    <x v="3"/>
    <x v="39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  <n v="129"/>
  </r>
  <r>
    <s v="Urban"/>
    <x v="3"/>
    <x v="3"/>
    <x v="39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</r>
  <r>
    <s v="Rural+Urban"/>
    <x v="3"/>
    <x v="3"/>
    <x v="39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</r>
  <r>
    <s v="Rural"/>
    <x v="3"/>
    <x v="4"/>
    <x v="40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  <n v="130.30000000000001"/>
  </r>
  <r>
    <s v="Urban"/>
    <x v="3"/>
    <x v="4"/>
    <x v="40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</r>
  <r>
    <s v="Rural+Urban"/>
    <x v="3"/>
    <x v="4"/>
    <x v="40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</r>
  <r>
    <s v="Rural"/>
    <x v="3"/>
    <x v="5"/>
    <x v="41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  <n v="131.9"/>
  </r>
  <r>
    <s v="Urban"/>
    <x v="3"/>
    <x v="5"/>
    <x v="41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</r>
  <r>
    <s v="Rural+Urban"/>
    <x v="3"/>
    <x v="5"/>
    <x v="41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</r>
  <r>
    <s v="Rural"/>
    <x v="3"/>
    <x v="6"/>
    <x v="42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  <n v="133"/>
  </r>
  <r>
    <s v="Urban"/>
    <x v="3"/>
    <x v="6"/>
    <x v="42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</r>
  <r>
    <s v="Rural+Urban"/>
    <x v="3"/>
    <x v="6"/>
    <x v="42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</r>
  <r>
    <s v="Rural"/>
    <x v="3"/>
    <x v="7"/>
    <x v="43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  <n v="133.5"/>
  </r>
  <r>
    <s v="Urban"/>
    <x v="3"/>
    <x v="7"/>
    <x v="43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</r>
  <r>
    <s v="Rural+Urban"/>
    <x v="3"/>
    <x v="7"/>
    <x v="43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</r>
  <r>
    <s v="Rural"/>
    <x v="3"/>
    <x v="8"/>
    <x v="44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  <n v="133.4"/>
  </r>
  <r>
    <s v="Urban"/>
    <x v="3"/>
    <x v="8"/>
    <x v="44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</r>
  <r>
    <s v="Rural+Urban"/>
    <x v="3"/>
    <x v="8"/>
    <x v="44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</r>
  <r>
    <s v="Rural"/>
    <x v="3"/>
    <x v="9"/>
    <x v="45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  <n v="133.80000000000001"/>
  </r>
  <r>
    <s v="Urban"/>
    <x v="3"/>
    <x v="9"/>
    <x v="45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</r>
  <r>
    <s v="Rural+Urban"/>
    <x v="3"/>
    <x v="9"/>
    <x v="45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</r>
  <r>
    <s v="Rural"/>
    <x v="3"/>
    <x v="11"/>
    <x v="46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  <n v="133.6"/>
  </r>
  <r>
    <s v="Urban"/>
    <x v="3"/>
    <x v="11"/>
    <x v="46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</r>
  <r>
    <s v="Rural+Urban"/>
    <x v="3"/>
    <x v="11"/>
    <x v="46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</r>
  <r>
    <s v="Rural"/>
    <x v="3"/>
    <x v="12"/>
    <x v="47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  <n v="132.80000000000001"/>
  </r>
  <r>
    <s v="Urban"/>
    <x v="3"/>
    <x v="12"/>
    <x v="47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</r>
  <r>
    <s v="Rural+Urban"/>
    <x v="3"/>
    <x v="12"/>
    <x v="47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</r>
  <r>
    <s v="Rural"/>
    <x v="4"/>
    <x v="0"/>
    <x v="48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  <n v="132.4"/>
  </r>
  <r>
    <s v="Urban"/>
    <x v="4"/>
    <x v="0"/>
    <x v="48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</r>
  <r>
    <s v="Rural+Urban"/>
    <x v="4"/>
    <x v="0"/>
    <x v="48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</r>
  <r>
    <s v="Rural"/>
    <x v="4"/>
    <x v="1"/>
    <x v="49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  <n v="132.6"/>
  </r>
  <r>
    <s v="Urban"/>
    <x v="4"/>
    <x v="1"/>
    <x v="49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</r>
  <r>
    <s v="Rural+Urban"/>
    <x v="4"/>
    <x v="1"/>
    <x v="49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</r>
  <r>
    <s v="Rural"/>
    <x v="4"/>
    <x v="2"/>
    <x v="50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  <n v="132.80000000000001"/>
  </r>
  <r>
    <s v="Urban"/>
    <x v="4"/>
    <x v="2"/>
    <x v="50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</r>
  <r>
    <s v="Rural+Urban"/>
    <x v="4"/>
    <x v="2"/>
    <x v="50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</r>
  <r>
    <s v="Rural"/>
    <x v="4"/>
    <x v="3"/>
    <x v="51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  <n v="132.9"/>
  </r>
  <r>
    <s v="Urban"/>
    <x v="4"/>
    <x v="3"/>
    <x v="51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</r>
  <r>
    <s v="Rural+Urban"/>
    <x v="4"/>
    <x v="3"/>
    <x v="51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</r>
  <r>
    <s v="Rural"/>
    <x v="4"/>
    <x v="4"/>
    <x v="52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  <n v="133.30000000000001"/>
  </r>
  <r>
    <s v="Urban"/>
    <x v="4"/>
    <x v="4"/>
    <x v="52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</r>
  <r>
    <s v="Rural+Urban"/>
    <x v="4"/>
    <x v="4"/>
    <x v="52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</r>
  <r>
    <s v="Rural"/>
    <x v="4"/>
    <x v="5"/>
    <x v="53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  <n v="133.9"/>
  </r>
  <r>
    <s v="Urban"/>
    <x v="4"/>
    <x v="5"/>
    <x v="53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</r>
  <r>
    <s v="Rural+Urban"/>
    <x v="4"/>
    <x v="5"/>
    <x v="53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</r>
  <r>
    <s v="Rural"/>
    <x v="4"/>
    <x v="6"/>
    <x v="54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  <n v="136.19999999999999"/>
  </r>
  <r>
    <s v="Urban"/>
    <x v="4"/>
    <x v="6"/>
    <x v="54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</r>
  <r>
    <s v="Rural+Urban"/>
    <x v="4"/>
    <x v="6"/>
    <x v="54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</r>
  <r>
    <s v="Rural"/>
    <x v="4"/>
    <x v="7"/>
    <x v="55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  <n v="137.80000000000001"/>
  </r>
  <r>
    <s v="Urban"/>
    <x v="4"/>
    <x v="7"/>
    <x v="55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</r>
  <r>
    <s v="Rural+Urban"/>
    <x v="4"/>
    <x v="7"/>
    <x v="55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</r>
  <r>
    <s v="Rural"/>
    <x v="4"/>
    <x v="8"/>
    <x v="56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  <n v="137.6"/>
  </r>
  <r>
    <s v="Urban"/>
    <x v="4"/>
    <x v="8"/>
    <x v="56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</r>
  <r>
    <s v="Rural+Urban"/>
    <x v="4"/>
    <x v="8"/>
    <x v="56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</r>
  <r>
    <s v="Rural"/>
    <x v="4"/>
    <x v="9"/>
    <x v="57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  <n v="138.30000000000001"/>
  </r>
  <r>
    <s v="Urban"/>
    <x v="4"/>
    <x v="9"/>
    <x v="57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</r>
  <r>
    <s v="Rural+Urban"/>
    <x v="4"/>
    <x v="9"/>
    <x v="57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</r>
  <r>
    <s v="Rural"/>
    <x v="4"/>
    <x v="11"/>
    <x v="58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  <n v="140"/>
  </r>
  <r>
    <s v="Urban"/>
    <x v="4"/>
    <x v="11"/>
    <x v="58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</r>
  <r>
    <s v="Rural+Urban"/>
    <x v="4"/>
    <x v="11"/>
    <x v="58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</r>
  <r>
    <s v="Rural"/>
    <x v="4"/>
    <x v="12"/>
    <x v="59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  <n v="139.80000000000001"/>
  </r>
  <r>
    <s v="Urban"/>
    <x v="4"/>
    <x v="12"/>
    <x v="59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</r>
  <r>
    <s v="Rural+Urban"/>
    <x v="4"/>
    <x v="12"/>
    <x v="59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</r>
  <r>
    <s v="Rural"/>
    <x v="5"/>
    <x v="0"/>
    <x v="6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  <n v="139.30000000000001"/>
  </r>
  <r>
    <s v="Urban"/>
    <x v="5"/>
    <x v="0"/>
    <x v="6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</r>
  <r>
    <s v="Rural+Urban"/>
    <x v="5"/>
    <x v="0"/>
    <x v="6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</r>
  <r>
    <s v="Rural"/>
    <x v="5"/>
    <x v="1"/>
    <x v="6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  <n v="138.5"/>
  </r>
  <r>
    <s v="Urban"/>
    <x v="5"/>
    <x v="1"/>
    <x v="6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</r>
  <r>
    <s v="Rural+Urban"/>
    <x v="5"/>
    <x v="1"/>
    <x v="6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</r>
  <r>
    <s v="Rural"/>
    <x v="5"/>
    <x v="2"/>
    <x v="6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  <n v="138.69999999999999"/>
  </r>
  <r>
    <s v="Urban"/>
    <x v="5"/>
    <x v="2"/>
    <x v="6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</r>
  <r>
    <s v="Rural+Urban"/>
    <x v="5"/>
    <x v="2"/>
    <x v="6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</r>
  <r>
    <s v="Rural"/>
    <x v="5"/>
    <x v="3"/>
    <x v="6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  <n v="139.1"/>
  </r>
  <r>
    <s v="Urban"/>
    <x v="5"/>
    <x v="3"/>
    <x v="6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</r>
  <r>
    <s v="Rural+Urban"/>
    <x v="5"/>
    <x v="3"/>
    <x v="6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</r>
  <r>
    <s v="Rural"/>
    <x v="5"/>
    <x v="4"/>
    <x v="6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  <n v="139.80000000000001"/>
  </r>
  <r>
    <s v="Urban"/>
    <x v="5"/>
    <x v="4"/>
    <x v="6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</r>
  <r>
    <s v="Rural+Urban"/>
    <x v="5"/>
    <x v="4"/>
    <x v="64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</r>
  <r>
    <s v="Rural"/>
    <x v="5"/>
    <x v="5"/>
    <x v="6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  <n v="140.5"/>
  </r>
  <r>
    <s v="Urban"/>
    <x v="5"/>
    <x v="5"/>
    <x v="6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</r>
  <r>
    <s v="Rural+Urban"/>
    <x v="5"/>
    <x v="5"/>
    <x v="6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</r>
  <r>
    <s v="Rural"/>
    <x v="5"/>
    <x v="6"/>
    <x v="6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  <n v="141.80000000000001"/>
  </r>
  <r>
    <s v="Urban"/>
    <x v="5"/>
    <x v="6"/>
    <x v="6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</r>
  <r>
    <s v="Rural+Urban"/>
    <x v="5"/>
    <x v="6"/>
    <x v="6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</r>
  <r>
    <s v="Rural"/>
    <x v="5"/>
    <x v="7"/>
    <x v="6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  <n v="142.5"/>
  </r>
  <r>
    <s v="Urban"/>
    <x v="5"/>
    <x v="7"/>
    <x v="67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</r>
  <r>
    <s v="Rural+Urban"/>
    <x v="5"/>
    <x v="7"/>
    <x v="6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</r>
  <r>
    <s v="Rural"/>
    <x v="5"/>
    <x v="8"/>
    <x v="6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  <n v="142.1"/>
  </r>
  <r>
    <s v="Urban"/>
    <x v="5"/>
    <x v="8"/>
    <x v="6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</r>
  <r>
    <s v="Rural+Urban"/>
    <x v="5"/>
    <x v="8"/>
    <x v="6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</r>
  <r>
    <s v="Rural"/>
    <x v="5"/>
    <x v="9"/>
    <x v="6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  <n v="142.19999999999999"/>
  </r>
  <r>
    <s v="Urban"/>
    <x v="5"/>
    <x v="9"/>
    <x v="69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</r>
  <r>
    <s v="Rural+Urban"/>
    <x v="5"/>
    <x v="9"/>
    <x v="6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</r>
  <r>
    <s v="Rural"/>
    <x v="5"/>
    <x v="11"/>
    <x v="70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  <n v="142.4"/>
  </r>
  <r>
    <s v="Urban"/>
    <x v="5"/>
    <x v="11"/>
    <x v="70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</r>
  <r>
    <s v="Rural+Urban"/>
    <x v="5"/>
    <x v="11"/>
    <x v="7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</r>
  <r>
    <s v="Rural"/>
    <x v="5"/>
    <x v="12"/>
    <x v="71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  <n v="141.9"/>
  </r>
  <r>
    <s v="Urban"/>
    <x v="5"/>
    <x v="12"/>
    <x v="71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</r>
  <r>
    <s v="Rural+Urban"/>
    <x v="5"/>
    <x v="12"/>
    <x v="71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</r>
  <r>
    <s v="Rural"/>
    <x v="6"/>
    <x v="0"/>
    <x v="72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  <n v="141"/>
  </r>
  <r>
    <s v="Urban"/>
    <x v="6"/>
    <x v="0"/>
    <x v="72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</r>
  <r>
    <s v="Rural+Urban"/>
    <x v="6"/>
    <x v="0"/>
    <x v="72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</r>
  <r>
    <s v="Rural"/>
    <x v="6"/>
    <x v="1"/>
    <x v="73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  <n v="141"/>
  </r>
  <r>
    <s v="Urban"/>
    <x v="6"/>
    <x v="1"/>
    <x v="73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</r>
  <r>
    <s v="Rural+Urban"/>
    <x v="6"/>
    <x v="1"/>
    <x v="73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</r>
  <r>
    <s v="Rural"/>
    <x v="6"/>
    <x v="2"/>
    <x v="74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  <n v="141.19999999999999"/>
  </r>
  <r>
    <s v="Urban"/>
    <x v="6"/>
    <x v="2"/>
    <x v="74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</r>
  <r>
    <s v="Rural+Urban"/>
    <x v="6"/>
    <x v="2"/>
    <x v="74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</r>
  <r>
    <s v="Rural"/>
    <x v="6"/>
    <x v="4"/>
    <x v="75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  <n v="142.4"/>
  </r>
  <r>
    <s v="Urban"/>
    <x v="6"/>
    <x v="4"/>
    <x v="75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</r>
  <r>
    <s v="Rural+Urban"/>
    <x v="6"/>
    <x v="4"/>
    <x v="75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</r>
  <r>
    <s v="Rural"/>
    <x v="6"/>
    <x v="5"/>
    <x v="76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  <n v="143.6"/>
  </r>
  <r>
    <s v="Urban"/>
    <x v="6"/>
    <x v="5"/>
    <x v="76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</r>
  <r>
    <s v="Rural+Urban"/>
    <x v="6"/>
    <x v="5"/>
    <x v="76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</r>
  <r>
    <s v="Rural"/>
    <x v="6"/>
    <x v="6"/>
    <x v="77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  <n v="144.9"/>
  </r>
  <r>
    <s v="Urban"/>
    <x v="6"/>
    <x v="6"/>
    <x v="77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</r>
  <r>
    <s v="Rural+Urban"/>
    <x v="6"/>
    <x v="6"/>
    <x v="77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</r>
  <r>
    <s v="Rural"/>
    <x v="6"/>
    <x v="7"/>
    <x v="78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  <n v="145.69999999999999"/>
  </r>
  <r>
    <s v="Urban"/>
    <x v="6"/>
    <x v="7"/>
    <x v="78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</r>
  <r>
    <s v="Rural+Urban"/>
    <x v="6"/>
    <x v="7"/>
    <x v="78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</r>
  <r>
    <s v="Rural"/>
    <x v="6"/>
    <x v="8"/>
    <x v="79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  <n v="146.69999999999999"/>
  </r>
  <r>
    <s v="Urban"/>
    <x v="6"/>
    <x v="8"/>
    <x v="79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</r>
  <r>
    <s v="Rural+Urban"/>
    <x v="6"/>
    <x v="8"/>
    <x v="79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</r>
  <r>
    <s v="Rural"/>
    <x v="6"/>
    <x v="9"/>
    <x v="80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</r>
  <r>
    <s v="Urban"/>
    <x v="6"/>
    <x v="9"/>
    <x v="80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</r>
  <r>
    <s v="Rural+Urban"/>
    <x v="6"/>
    <x v="9"/>
    <x v="80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</r>
  <r>
    <s v="Rural"/>
    <x v="6"/>
    <x v="11"/>
    <x v="81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  <n v="149.9"/>
  </r>
  <r>
    <s v="Urban"/>
    <x v="6"/>
    <x v="11"/>
    <x v="81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</r>
  <r>
    <s v="Rural+Urban"/>
    <x v="6"/>
    <x v="11"/>
    <x v="81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</r>
  <r>
    <s v="Rural"/>
    <x v="6"/>
    <x v="12"/>
    <x v="82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  <n v="152.30000000000001"/>
  </r>
  <r>
    <s v="Urban"/>
    <x v="6"/>
    <x v="12"/>
    <x v="82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</r>
  <r>
    <s v="Rural+Urban"/>
    <x v="6"/>
    <x v="12"/>
    <x v="82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</r>
  <r>
    <s v="Rural"/>
    <x v="7"/>
    <x v="0"/>
    <x v="83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  <n v="151.9"/>
  </r>
  <r>
    <s v="Urban"/>
    <x v="7"/>
    <x v="0"/>
    <x v="83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</r>
  <r>
    <s v="Rural+Urban"/>
    <x v="7"/>
    <x v="0"/>
    <x v="83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</r>
  <r>
    <s v="Rural"/>
    <x v="7"/>
    <x v="1"/>
    <x v="84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  <n v="150.4"/>
  </r>
  <r>
    <s v="Urban"/>
    <x v="7"/>
    <x v="1"/>
    <x v="84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</r>
  <r>
    <s v="Rural+Urban"/>
    <x v="7"/>
    <x v="1"/>
    <x v="84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</r>
  <r>
    <s v="Rural"/>
    <x v="7"/>
    <x v="2"/>
    <x v="85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  <n v="149.80000000000001"/>
  </r>
  <r>
    <s v="Urban"/>
    <x v="7"/>
    <x v="2"/>
    <x v="85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</r>
  <r>
    <s v="Rural+Urban"/>
    <x v="7"/>
    <x v="2"/>
    <x v="85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</r>
  <r>
    <s v="Rural"/>
    <x v="7"/>
    <x v="3"/>
    <x v="86"/>
    <n v="147.19999999999999"/>
    <s v="NA"/>
    <n v="146.9"/>
    <n v="155.6"/>
    <n v="137.1"/>
    <n v="147.30000000000001"/>
    <n v="162.69999999999999"/>
    <n v="150.19999999999999"/>
    <n v="119.8"/>
    <n v="158.69999999999999"/>
    <n v="139.19999999999999"/>
    <s v="NA"/>
    <n v="150.1"/>
    <s v="NA"/>
    <s v="NA"/>
    <s v="NA"/>
    <s v="NA"/>
    <s v="NA"/>
    <n v="148.4"/>
    <s v="NA"/>
    <n v="154.30000000000001"/>
    <s v="NA"/>
    <s v="NA"/>
    <s v="NA"/>
    <s v="NA"/>
    <s v="NA"/>
    <s v="NA"/>
  </r>
  <r>
    <s v="Urban"/>
    <x v="7"/>
    <x v="3"/>
    <x v="86"/>
    <n v="151.80000000000001"/>
    <s v="NA"/>
    <n v="151.9"/>
    <n v="155.5"/>
    <n v="131.6"/>
    <n v="152.9"/>
    <n v="180"/>
    <n v="150.80000000000001"/>
    <n v="121.2"/>
    <n v="154"/>
    <n v="133.5"/>
    <s v="NA"/>
    <n v="153.5"/>
    <s v="NA"/>
    <s v="NA"/>
    <s v="NA"/>
    <s v="NA"/>
    <n v="155.6"/>
    <n v="137.1"/>
    <s v="NA"/>
    <n v="144.80000000000001"/>
    <s v="NA"/>
    <s v="NA"/>
    <s v="NA"/>
    <s v="NA"/>
    <s v="NA"/>
    <s v="NA"/>
  </r>
  <r>
    <s v="Rural+Urban"/>
    <x v="7"/>
    <x v="3"/>
    <x v="86"/>
    <n v="148.69999999999999"/>
    <s v="NA"/>
    <n v="148.80000000000001"/>
    <n v="155.6"/>
    <n v="135.1"/>
    <n v="149.9"/>
    <n v="168.6"/>
    <n v="150.4"/>
    <n v="120.3"/>
    <n v="157.1"/>
    <n v="136.80000000000001"/>
    <s v="NA"/>
    <n v="151.4"/>
    <s v="NA"/>
    <s v="NA"/>
    <s v="NA"/>
    <s v="NA"/>
    <n v="155.6"/>
    <n v="144.1"/>
    <s v="NA"/>
    <n v="150.69999999999999"/>
    <s v="NA"/>
    <s v="NA"/>
    <s v="NA"/>
    <s v="NA"/>
    <s v="NA"/>
    <s v="NA"/>
  </r>
  <r>
    <s v="Rural"/>
    <x v="7"/>
    <x v="4"/>
    <x v="87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s v="Urban"/>
    <x v="7"/>
    <x v="4"/>
    <x v="87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s v="Rural+Urban"/>
    <x v="7"/>
    <x v="4"/>
    <x v="87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s v="Rural"/>
    <x v="7"/>
    <x v="5"/>
    <x v="88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s v="Urban"/>
    <x v="7"/>
    <x v="5"/>
    <x v="88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s v="Rural+Urban"/>
    <x v="7"/>
    <x v="5"/>
    <x v="88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s v="Rural"/>
    <x v="7"/>
    <x v="6"/>
    <x v="89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s v="Urban"/>
    <x v="7"/>
    <x v="6"/>
    <x v="89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s v="Rural+Urban"/>
    <x v="7"/>
    <x v="6"/>
    <x v="89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s v="Rural"/>
    <x v="7"/>
    <x v="7"/>
    <x v="90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  <n v="154.69999999999999"/>
  </r>
  <r>
    <s v="Urban"/>
    <x v="7"/>
    <x v="7"/>
    <x v="90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</r>
  <r>
    <s v="Rural+Urban"/>
    <x v="7"/>
    <x v="7"/>
    <x v="90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</r>
  <r>
    <s v="Rural"/>
    <x v="7"/>
    <x v="8"/>
    <x v="91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  <n v="155.4"/>
  </r>
  <r>
    <s v="Urban"/>
    <x v="7"/>
    <x v="8"/>
    <x v="91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</r>
  <r>
    <s v="Rural+Urban"/>
    <x v="7"/>
    <x v="8"/>
    <x v="91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</r>
  <r>
    <s v="Rural"/>
    <x v="7"/>
    <x v="9"/>
    <x v="92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  <n v="157.5"/>
  </r>
  <r>
    <s v="Urban"/>
    <x v="7"/>
    <x v="9"/>
    <x v="92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</r>
  <r>
    <s v="Rural+Urban"/>
    <x v="7"/>
    <x v="9"/>
    <x v="92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</r>
  <r>
    <s v="Rural"/>
    <x v="7"/>
    <x v="11"/>
    <x v="93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  <n v="159.80000000000001"/>
  </r>
  <r>
    <s v="Urban"/>
    <x v="7"/>
    <x v="11"/>
    <x v="93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</r>
  <r>
    <s v="Rural+Urban"/>
    <x v="7"/>
    <x v="11"/>
    <x v="93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</r>
  <r>
    <s v="Rural"/>
    <x v="7"/>
    <x v="12"/>
    <x v="94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  <n v="160.69999999999999"/>
  </r>
  <r>
    <s v="Urban"/>
    <x v="7"/>
    <x v="12"/>
    <x v="94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</r>
  <r>
    <s v="Rural+Urban"/>
    <x v="7"/>
    <x v="12"/>
    <x v="94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</r>
  <r>
    <s v="Rural"/>
    <x v="8"/>
    <x v="0"/>
    <x v="95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  <n v="158.5"/>
  </r>
  <r>
    <s v="Urban"/>
    <x v="8"/>
    <x v="0"/>
    <x v="95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</r>
  <r>
    <s v="Rural+Urban"/>
    <x v="8"/>
    <x v="0"/>
    <x v="95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</r>
  <r>
    <s v="Rural"/>
    <x v="8"/>
    <x v="1"/>
    <x v="96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  <n v="156.69999999999999"/>
  </r>
  <r>
    <s v="Urban"/>
    <x v="8"/>
    <x v="1"/>
    <x v="96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</r>
  <r>
    <s v="Rural+Urban"/>
    <x v="8"/>
    <x v="1"/>
    <x v="96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</r>
  <r>
    <s v="Rural"/>
    <x v="8"/>
    <x v="2"/>
    <x v="97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n v="139.25"/>
    <n v="156"/>
    <n v="154.80000000000001"/>
    <n v="164.6"/>
    <n v="151.30000000000001"/>
    <n v="157.80000000000001"/>
    <n v="163.80000000000001"/>
    <n v="153.1"/>
    <n v="157.30000000000001"/>
    <n v="156.69999999999999"/>
  </r>
  <r>
    <s v="Urban"/>
    <x v="8"/>
    <x v="2"/>
    <x v="97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</r>
  <r>
    <s v="Rural+Urban"/>
    <x v="8"/>
    <x v="2"/>
    <x v="97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</r>
  <r>
    <s v="Rural"/>
    <x v="8"/>
    <x v="3"/>
    <x v="98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n v="139.25"/>
    <n v="156"/>
    <n v="155.5"/>
    <n v="165.3"/>
    <n v="151.69999999999999"/>
    <n v="158.6"/>
    <n v="164.1"/>
    <n v="154.6"/>
    <n v="158"/>
    <n v="157.6"/>
  </r>
  <r>
    <s v="Urban"/>
    <x v="8"/>
    <x v="3"/>
    <x v="98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</r>
  <r>
    <s v="Rural+Urban"/>
    <x v="8"/>
    <x v="3"/>
    <x v="98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</r>
  <r>
    <s v="Rural"/>
    <x v="8"/>
    <x v="4"/>
    <x v="99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  <n v="161.1"/>
  </r>
  <r>
    <s v="Urban"/>
    <x v="8"/>
    <x v="4"/>
    <x v="99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</r>
  <r>
    <s v="Rural+Urban"/>
    <x v="8"/>
    <x v="4"/>
    <x v="99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</r>
  <r>
    <s v="Rural"/>
    <x v="8"/>
    <x v="5"/>
    <x v="100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  <n v="162.1"/>
  </r>
  <r>
    <s v="Urban"/>
    <x v="8"/>
    <x v="5"/>
    <x v="100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</r>
  <r>
    <s v="Rural+Urban"/>
    <x v="8"/>
    <x v="5"/>
    <x v="100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</r>
  <r>
    <s v="Rural"/>
    <x v="8"/>
    <x v="6"/>
    <x v="101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  <n v="163.19999999999999"/>
  </r>
  <r>
    <s v="Urban"/>
    <x v="8"/>
    <x v="6"/>
    <x v="101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</r>
  <r>
    <s v="Rural+Urban"/>
    <x v="8"/>
    <x v="6"/>
    <x v="101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</r>
  <r>
    <s v="Rural"/>
    <x v="8"/>
    <x v="7"/>
    <x v="102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  <n v="163.6"/>
  </r>
  <r>
    <s v="Urban"/>
    <x v="8"/>
    <x v="7"/>
    <x v="102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</r>
  <r>
    <s v="Rural+Urban"/>
    <x v="8"/>
    <x v="7"/>
    <x v="102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</r>
  <r>
    <s v="Rural"/>
    <x v="8"/>
    <x v="8"/>
    <x v="103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  <n v="164"/>
  </r>
  <r>
    <s v="Urban"/>
    <x v="8"/>
    <x v="8"/>
    <x v="103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</r>
  <r>
    <s v="Rural+Urban"/>
    <x v="8"/>
    <x v="8"/>
    <x v="103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</r>
  <r>
    <s v="Rural"/>
    <x v="8"/>
    <x v="9"/>
    <x v="104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  <n v="166.3"/>
  </r>
  <r>
    <s v="Urban"/>
    <x v="8"/>
    <x v="9"/>
    <x v="104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</r>
  <r>
    <s v="Rural+Urban"/>
    <x v="8"/>
    <x v="9"/>
    <x v="104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</r>
  <r>
    <s v="Rural"/>
    <x v="8"/>
    <x v="11"/>
    <x v="105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  <n v="167.6"/>
  </r>
  <r>
    <s v="Urban"/>
    <x v="8"/>
    <x v="11"/>
    <x v="105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</r>
  <r>
    <s v="Rural+Urban"/>
    <x v="8"/>
    <x v="11"/>
    <x v="105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</r>
  <r>
    <s v="Rural"/>
    <x v="8"/>
    <x v="12"/>
    <x v="106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  <n v="167"/>
  </r>
  <r>
    <s v="Urban"/>
    <x v="8"/>
    <x v="12"/>
    <x v="106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</r>
  <r>
    <s v="Rural+Urban"/>
    <x v="8"/>
    <x v="12"/>
    <x v="106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</r>
  <r>
    <s v="Rural"/>
    <x v="9"/>
    <x v="0"/>
    <x v="107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  <n v="166.4"/>
  </r>
  <r>
    <s v="Urban"/>
    <x v="9"/>
    <x v="0"/>
    <x v="107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</r>
  <r>
    <s v="Rural+Urban"/>
    <x v="9"/>
    <x v="0"/>
    <x v="107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</r>
  <r>
    <s v="Rural"/>
    <x v="9"/>
    <x v="1"/>
    <x v="108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  <n v="166.7"/>
  </r>
  <r>
    <s v="Urban"/>
    <x v="9"/>
    <x v="1"/>
    <x v="108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</r>
  <r>
    <s v="Rural+Urban"/>
    <x v="9"/>
    <x v="1"/>
    <x v="108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</r>
  <r>
    <s v="Rural"/>
    <x v="9"/>
    <x v="2"/>
    <x v="109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  <n v="168.7"/>
  </r>
  <r>
    <s v="Urban"/>
    <x v="9"/>
    <x v="2"/>
    <x v="109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</r>
  <r>
    <s v="Rural+Urban"/>
    <x v="9"/>
    <x v="2"/>
    <x v="109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</r>
  <r>
    <s v="Rural"/>
    <x v="9"/>
    <x v="3"/>
    <x v="110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  <n v="170.8"/>
  </r>
  <r>
    <s v="Urban"/>
    <x v="9"/>
    <x v="3"/>
    <x v="110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</r>
  <r>
    <s v="Rural+Urban"/>
    <x v="9"/>
    <x v="3"/>
    <x v="110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</r>
  <r>
    <s v="Rural"/>
    <x v="9"/>
    <x v="4"/>
    <x v="111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  <n v="172.5"/>
  </r>
  <r>
    <s v="Urban"/>
    <x v="9"/>
    <x v="4"/>
    <x v="111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</r>
  <r>
    <s v="Rural+Urban"/>
    <x v="9"/>
    <x v="4"/>
    <x v="111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</r>
  <r>
    <s v="Rural"/>
    <x v="9"/>
    <x v="5"/>
    <x v="112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  <n v="173.6"/>
  </r>
  <r>
    <s v="Urban"/>
    <x v="9"/>
    <x v="5"/>
    <x v="112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</r>
  <r>
    <s v="Rural+Urban"/>
    <x v="9"/>
    <x v="5"/>
    <x v="112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</r>
  <r>
    <s v="Rural"/>
    <x v="9"/>
    <x v="6"/>
    <x v="113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  <n v="174.3"/>
  </r>
  <r>
    <s v="Urban"/>
    <x v="9"/>
    <x v="6"/>
    <x v="113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</r>
  <r>
    <s v="Rural+Urban"/>
    <x v="9"/>
    <x v="6"/>
    <x v="113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</r>
  <r>
    <s v="Rural"/>
    <x v="9"/>
    <x v="7"/>
    <x v="114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  <n v="175.3"/>
  </r>
  <r>
    <s v="Urban"/>
    <x v="9"/>
    <x v="7"/>
    <x v="114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</r>
  <r>
    <s v="Rural+Urban"/>
    <x v="9"/>
    <x v="7"/>
    <x v="114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</r>
  <r>
    <s v="Rural"/>
    <x v="9"/>
    <x v="8"/>
    <x v="115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  <n v="176.4"/>
  </r>
  <r>
    <s v="Urban"/>
    <x v="9"/>
    <x v="8"/>
    <x v="115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</r>
  <r>
    <s v="Rural+Urban"/>
    <x v="9"/>
    <x v="8"/>
    <x v="115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</r>
  <r>
    <s v="Rural"/>
    <x v="9"/>
    <x v="9"/>
    <x v="116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  <n v="177.9"/>
  </r>
  <r>
    <s v="Urban"/>
    <x v="9"/>
    <x v="9"/>
    <x v="116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</r>
  <r>
    <s v="Rural+Urban"/>
    <x v="9"/>
    <x v="9"/>
    <x v="116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</r>
  <r>
    <s v="Rural"/>
    <x v="9"/>
    <x v="11"/>
    <x v="117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  <n v="177.8"/>
  </r>
  <r>
    <s v="Urban"/>
    <x v="9"/>
    <x v="11"/>
    <x v="117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</r>
  <r>
    <s v="Rural+Urban"/>
    <x v="9"/>
    <x v="11"/>
    <x v="117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</r>
  <r>
    <s v="Rural"/>
    <x v="9"/>
    <x v="12"/>
    <x v="118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  <n v="177.1"/>
  </r>
  <r>
    <s v="Urban"/>
    <x v="9"/>
    <x v="12"/>
    <x v="118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</r>
  <r>
    <s v="Rural+Urban"/>
    <x v="9"/>
    <x v="12"/>
    <x v="118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</r>
  <r>
    <s v="Rural"/>
    <x v="10"/>
    <x v="0"/>
    <x v="119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  <n v="177.8"/>
  </r>
  <r>
    <s v="Urban"/>
    <x v="10"/>
    <x v="0"/>
    <x v="119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</r>
  <r>
    <s v="Rural+Urban"/>
    <x v="10"/>
    <x v="0"/>
    <x v="119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</r>
  <r>
    <s v="Rural"/>
    <x v="10"/>
    <x v="1"/>
    <x v="120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  <n v="178"/>
  </r>
  <r>
    <s v="Urban"/>
    <x v="10"/>
    <x v="1"/>
    <x v="120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</r>
  <r>
    <s v="Rural+Urban"/>
    <x v="10"/>
    <x v="1"/>
    <x v="120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</r>
  <r>
    <s v="Rural"/>
    <x v="10"/>
    <x v="2"/>
    <x v="121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  <n v="178"/>
  </r>
  <r>
    <s v="Urban"/>
    <x v="10"/>
    <x v="2"/>
    <x v="121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</r>
  <r>
    <s v="Rural+Urban"/>
    <x v="10"/>
    <x v="2"/>
    <x v="121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</r>
  <r>
    <s v="Rural"/>
    <x v="10"/>
    <x v="3"/>
    <x v="122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n v="139.25"/>
    <n v="181.5"/>
    <n v="179.1"/>
    <n v="187.2"/>
    <n v="169.4"/>
    <n v="173.2"/>
    <n v="179.4"/>
    <n v="183.8"/>
    <n v="178.9"/>
    <n v="178.8"/>
  </r>
  <r>
    <s v="Urban"/>
    <x v="10"/>
    <x v="3"/>
    <x v="122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</r>
  <r>
    <s v="Rural+Urban"/>
    <x v="10"/>
    <x v="3"/>
    <x v="122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</r>
  <r>
    <s v="Rural"/>
    <x v="10"/>
    <x v="4"/>
    <x v="123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n v="139.25"/>
    <n v="182.5"/>
    <n v="179.8"/>
    <n v="187.8"/>
    <n v="169.7"/>
    <n v="173.8"/>
    <n v="180.3"/>
    <n v="184.9"/>
    <n v="179.5"/>
    <n v="179.8"/>
  </r>
  <r>
    <s v="Urban"/>
    <x v="10"/>
    <x v="4"/>
    <x v="123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</r>
  <r>
    <s v="Rural+Urban"/>
    <x v="10"/>
    <x v="4"/>
    <x v="123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5D95B-1384-475D-87B4-15F1857A45AA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C197" firstHeaderRow="0" firstDataRow="0" firstDataCol="0"/>
  <pivotFields count="34">
    <pivotField showAll="0"/>
    <pivotField showAll="0"/>
    <pivotField showAll="0"/>
    <pivotField axis="axisRow" numFmtId="14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</items>
    </pivotField>
  </pivotFields>
  <rowFields count="4">
    <field x="33"/>
    <field x="32"/>
    <field x="31"/>
    <field x="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formats count="4">
    <format dxfId="3">
      <pivotArea type="all" dataOnly="0" outline="0" fieldPosition="0"/>
    </format>
    <format dxfId="2">
      <pivotArea outline="0" fieldPosition="0"/>
    </format>
    <format dxfId="1">
      <pivotArea type="all" dataOnly="0" outline="0" fieldPosition="0"/>
    </format>
    <format dxfId="0">
      <pivotArea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3B345-DD11-4AA8-8A84-4FA54FC7FD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12:N13" firstHeaderRow="0" firstDataRow="1" firstDataCol="0" rowPageCount="1" colPageCount="1"/>
  <pivotFields count="34">
    <pivotField showAll="0"/>
    <pivotField showAll="0"/>
    <pivotField showAll="0"/>
    <pivotField axis="axisPage" numFmtId="14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Items count="1">
    <i/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3" hier="-1"/>
  </pageFields>
  <dataFields count="12">
    <dataField name="Average of Education" fld="27" subtotal="average" baseField="0" baseItem="1"/>
    <dataField name="Average of Food and beverages" fld="16" subtotal="average" baseField="0" baseItem="1"/>
    <dataField name="Average of Household goods and services" fld="23" subtotal="average" baseField="0" baseItem="1"/>
    <dataField name="Average of Transport and communication" fld="25" subtotal="average" baseField="0" baseItem="1"/>
    <dataField name="Average of Fuel and light" fld="22" subtotal="average" baseField="0" baseItem="1"/>
    <dataField name="Average of Recreation and amusement" fld="26" subtotal="average" baseField="0" baseItem="1"/>
    <dataField name="Average of Personal care and effects" fld="28" subtotal="average" baseField="0" baseItem="1"/>
    <dataField name="Average of Pan, tobacco and intoxicants" fld="17" subtotal="average" baseField="0" baseItem="1"/>
    <dataField name="Average of Health" fld="24" subtotal="average" baseField="0" baseItem="1"/>
    <dataField name="Average of Housing" fld="21" subtotal="average" baseField="0" baseItem="1"/>
    <dataField name="Average of Miscellaneous" fld="29" subtotal="average" baseField="0" baseItem="1"/>
    <dataField name="Average of Clothing and footwear" fld="20" subtotal="average" baseField="0" baseItem="1"/>
  </dataFields>
  <formats count="6"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3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2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3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31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3" format="32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3" format="33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3" format="34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3" format="35" series="1">
      <pivotArea type="data" outline="0" fieldPosition="0">
        <references count="1">
          <reference field="429496729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E9CC9-C03F-43AD-982E-A8153D1800A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8:D80" firstHeaderRow="1" firstDataRow="1" firstDataCol="1"/>
  <pivotFields count="34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4" showAll="0">
      <items count="1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General index" fld="30" subtotal="average" baseField="1" baseItem="0"/>
  </dataFields>
  <formats count="14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2">
            <x v="8"/>
            <x v="9"/>
          </reference>
        </references>
      </pivotArea>
    </format>
    <format dxfId="10">
      <pivotArea dataOnly="0" labelOnly="1" fieldPosition="0">
        <references count="1">
          <reference field="1" count="2"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E15B8-6186-4B60-84B2-9FFFE1CD603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4:D129" firstHeaderRow="1" firstDataRow="1" firstDataCol="1"/>
  <pivotFields count="34">
    <pivotField showAll="0"/>
    <pivotField showAll="0"/>
    <pivotField showAll="0"/>
    <pivotField axis="axisRow" numFmtId="14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sd="0"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x="11"/>
        <item sd="0" x="12"/>
        <item t="default"/>
      </items>
    </pivotField>
  </pivotFields>
  <rowFields count="3">
    <field x="33"/>
    <field x="31"/>
    <field x="3"/>
  </rowFields>
  <rowItems count="15">
    <i>
      <x v="10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Average of Food and beverages" fld="16" subtotal="average" baseField="31" baseItem="12"/>
  </dataFields>
  <formats count="1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33" type="button" dataOnly="0" labelOnly="1" outline="0" axis="axisRow" fieldPosition="0"/>
    </format>
    <format dxfId="36">
      <pivotArea dataOnly="0" labelOnly="1" fieldPosition="0">
        <references count="1">
          <reference field="33" count="2">
            <x v="10"/>
            <x v="11"/>
          </reference>
        </references>
      </pivotArea>
    </format>
    <format dxfId="35">
      <pivotArea dataOnly="0" labelOnly="1" grandRow="1" outline="0" fieldPosition="0"/>
    </format>
    <format dxfId="34">
      <pivotArea dataOnly="0" labelOnly="1" fieldPosition="0">
        <references count="2">
          <reference field="31" count="7">
            <x v="6"/>
            <x v="7"/>
            <x v="8"/>
            <x v="9"/>
            <x v="10"/>
            <x v="11"/>
            <x v="12"/>
          </reference>
          <reference field="33" count="1" selected="0">
            <x v="10"/>
          </reference>
        </references>
      </pivotArea>
    </format>
    <format dxfId="33">
      <pivotArea dataOnly="0" labelOnly="1" fieldPosition="0">
        <references count="2">
          <reference field="31" count="5">
            <x v="1"/>
            <x v="2"/>
            <x v="3"/>
            <x v="4"/>
            <x v="5"/>
          </reference>
          <reference field="33" count="1" selected="0">
            <x v="11"/>
          </reference>
        </references>
      </pivotArea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33" type="button" dataOnly="0" labelOnly="1" outline="0" axis="axisRow" fieldPosition="0"/>
    </format>
    <format dxfId="28">
      <pivotArea dataOnly="0" labelOnly="1" fieldPosition="0">
        <references count="1">
          <reference field="33" count="2">
            <x v="10"/>
            <x v="11"/>
          </reference>
        </references>
      </pivotArea>
    </format>
    <format dxfId="27">
      <pivotArea dataOnly="0" labelOnly="1" grandRow="1" outline="0" fieldPosition="0"/>
    </format>
    <format dxfId="26">
      <pivotArea dataOnly="0" labelOnly="1" fieldPosition="0">
        <references count="2">
          <reference field="31" count="7">
            <x v="6"/>
            <x v="7"/>
            <x v="8"/>
            <x v="9"/>
            <x v="10"/>
            <x v="11"/>
            <x v="12"/>
          </reference>
          <reference field="33" count="1" selected="0">
            <x v="10"/>
          </reference>
        </references>
      </pivotArea>
    </format>
    <format dxfId="25">
      <pivotArea dataOnly="0" labelOnly="1" fieldPosition="0">
        <references count="2">
          <reference field="31" count="5">
            <x v="1"/>
            <x v="2"/>
            <x v="3"/>
            <x v="4"/>
            <x v="5"/>
          </reference>
          <reference field="33" count="1" selected="0">
            <x v="11"/>
          </reference>
        </references>
      </pivotArea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3" type="dateBetween" evalOrder="-1" id="1">
      <autoFilter ref="A1">
        <filterColumn colId="0">
          <customFilters and="1">
            <customFilter operator="greaterThanOrEqual" val="44713"/>
            <customFilter operator="lessThanOrEqual" val="4507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10716-1694-4768-B06F-F9AA7F7CF40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58:P173" firstHeaderRow="0" firstDataRow="1" firstDataCol="1"/>
  <pivotFields count="34">
    <pivotField showAll="0"/>
    <pivotField showAll="0"/>
    <pivotField showAll="0"/>
    <pivotField axis="axisRow" numFmtId="14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x="11"/>
        <item sd="0" x="12"/>
      </items>
    </pivotField>
  </pivotFields>
  <rowFields count="3">
    <field x="33"/>
    <field x="31"/>
    <field x="3"/>
  </rowFields>
  <rowItems count="15">
    <i>
      <x v="10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Average of Cereals and products" fld="4" subtotal="average" baseField="33" baseItem="11"/>
    <dataField name="Average of Non-alcoholic beverages" fld="14" subtotal="average" baseField="33" baseItem="11"/>
    <dataField name="Average of Sugar and Confectionery" fld="12" subtotal="average" baseField="33" baseItem="11"/>
    <dataField name="Average of Food and beverages" fld="16" subtotal="average" baseField="33" baseItem="11"/>
    <dataField name="Average of Prepared meals, snacks, sweets etc." fld="15" subtotal="average" baseField="33" baseItem="11"/>
    <dataField name="Average of Milk and products" fld="7" subtotal="average" baseField="33" baseItem="11"/>
    <dataField name="Average of Vegetables" fld="10" subtotal="average" baseField="33" baseItem="11"/>
    <dataField name="Average of Spices" fld="13" subtotal="average" baseField="33" baseItem="11"/>
    <dataField name="Average of Pulses and products" fld="11" subtotal="average" baseField="33" baseItem="11"/>
    <dataField name="Average of Meat and fish" fld="5" subtotal="average" baseField="33" baseItem="11"/>
    <dataField name="Average of Oils and fats" fld="8" subtotal="average" baseField="33" baseItem="11"/>
    <dataField name="Average of Fruits" fld="9" subtotal="average" baseField="33" baseItem="11"/>
    <dataField name="Average of Egg" fld="6" subtotal="average" baseField="33" baseItem="11"/>
  </dataFields>
  <formats count="1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33" type="button" dataOnly="0" labelOnly="1" outline="0" axis="axisRow" fieldPosition="0"/>
    </format>
    <format dxfId="52">
      <pivotArea dataOnly="0" labelOnly="1" fieldPosition="0">
        <references count="1">
          <reference field="33" count="2">
            <x v="10"/>
            <x v="11"/>
          </reference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2">
          <reference field="31" count="7">
            <x v="6"/>
            <x v="7"/>
            <x v="8"/>
            <x v="9"/>
            <x v="10"/>
            <x v="11"/>
            <x v="12"/>
          </reference>
          <reference field="33" count="1" selected="0">
            <x v="10"/>
          </reference>
        </references>
      </pivotArea>
    </format>
    <format dxfId="49">
      <pivotArea dataOnly="0" labelOnly="1" fieldPosition="0">
        <references count="2">
          <reference field="31" count="5">
            <x v="1"/>
            <x v="2"/>
            <x v="3"/>
            <x v="4"/>
            <x v="5"/>
          </reference>
          <reference field="33" count="1" selected="0">
            <x v="11"/>
          </reference>
        </references>
      </pivotArea>
    </format>
    <format dxfId="48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33" type="button" dataOnly="0" labelOnly="1" outline="0" axis="axisRow" fieldPosition="0"/>
    </format>
    <format dxfId="44">
      <pivotArea dataOnly="0" labelOnly="1" fieldPosition="0">
        <references count="1">
          <reference field="33" count="2">
            <x v="10"/>
            <x v="11"/>
          </reference>
        </references>
      </pivotArea>
    </format>
    <format dxfId="43">
      <pivotArea dataOnly="0" labelOnly="1" grandRow="1" outline="0" fieldPosition="0"/>
    </format>
    <format dxfId="42">
      <pivotArea dataOnly="0" labelOnly="1" fieldPosition="0">
        <references count="2">
          <reference field="31" count="7">
            <x v="6"/>
            <x v="7"/>
            <x v="8"/>
            <x v="9"/>
            <x v="10"/>
            <x v="11"/>
            <x v="12"/>
          </reference>
          <reference field="33" count="1" selected="0">
            <x v="10"/>
          </reference>
        </references>
      </pivotArea>
    </format>
    <format dxfId="41">
      <pivotArea dataOnly="0" labelOnly="1" fieldPosition="0">
        <references count="2">
          <reference field="31" count="5">
            <x v="1"/>
            <x v="2"/>
            <x v="3"/>
            <x v="4"/>
            <x v="5"/>
          </reference>
          <reference field="33" count="1" selected="0">
            <x v="11"/>
          </reference>
        </references>
      </pivotArea>
    </format>
    <format dxfId="40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dateBetween" evalOrder="-1" id="1">
      <autoFilter ref="A1">
        <filterColumn colId="0">
          <customFilters and="1">
            <customFilter operator="greaterThanOrEqual" val="44713"/>
            <customFilter operator="lessThanOrEqual" val="4507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693E0-5459-43F3-97DB-79ACFF63E6B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201:H206" firstHeaderRow="0" firstDataRow="1" firstDataCol="1"/>
  <pivotFields count="34">
    <pivotField showAll="0"/>
    <pivotField showAll="0"/>
    <pivotField showAll="0"/>
    <pivotField axis="axisRow" numFmtId="14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</items>
    </pivotField>
  </pivotFields>
  <rowFields count="4">
    <field x="33"/>
    <field x="32"/>
    <field x="31"/>
    <field x="3"/>
  </rowFields>
  <rowItems count="5">
    <i>
      <x v="5"/>
    </i>
    <i>
      <x v="6"/>
    </i>
    <i>
      <x v="7"/>
    </i>
    <i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Food and beverages" fld="16" subtotal="average" baseField="33" baseItem="5"/>
    <dataField name="Average of Fuel and light" fld="22" subtotal="average" baseField="33" baseItem="5"/>
    <dataField name="Average of Household goods and services" fld="23" subtotal="average" baseField="33" baseItem="5"/>
    <dataField name="Average of Health" fld="24" subtotal="average" baseField="33" baseItem="5"/>
    <dataField name="Average of General index" fld="30" subtotal="average" baseField="33" baseItem="6"/>
  </dataFields>
  <formats count="12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33" type="button" dataOnly="0" labelOnly="1" outline="0" axis="axisRow" fieldPosition="0"/>
    </format>
    <format dxfId="64">
      <pivotArea dataOnly="0" labelOnly="1" fieldPosition="0">
        <references count="1">
          <reference field="33" count="4">
            <x v="5"/>
            <x v="6"/>
            <x v="7"/>
            <x v="8"/>
          </reference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33" type="button" dataOnly="0" labelOnly="1" outline="0" axis="axisRow" fieldPosition="0"/>
    </format>
    <format dxfId="58">
      <pivotArea dataOnly="0" labelOnly="1" fieldPosition="0">
        <references count="1">
          <reference field="33" count="4">
            <x v="5"/>
            <x v="6"/>
            <x v="7"/>
            <x v="8"/>
          </reference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dateBetween" evalOrder="-1" id="1">
      <autoFilter ref="A1">
        <filterColumn colId="0">
          <customFilters and="1">
            <customFilter operator="greaterThanOrEqual" val="42736"/>
            <customFilter operator="lessThanOrEqual" val="4392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2B083-C021-49AE-BB98-817657E1975D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10:H215" firstHeaderRow="0" firstDataRow="1" firstDataCol="1"/>
  <pivotFields count="34">
    <pivotField showAll="0"/>
    <pivotField showAll="0"/>
    <pivotField showAll="0"/>
    <pivotField axis="axisRow" numFmtId="14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</items>
    </pivotField>
  </pivotFields>
  <rowFields count="4">
    <field x="33"/>
    <field x="32"/>
    <field x="31"/>
    <field x="3"/>
  </rowFields>
  <rowItems count="5">
    <i>
      <x v="8"/>
    </i>
    <i>
      <x v="9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Food and beverages" fld="16" subtotal="average" baseField="33" baseItem="8"/>
    <dataField name="Average of Fuel and light" fld="22" subtotal="average" baseField="33" baseItem="8"/>
    <dataField name="Average of Household goods and services" fld="23" subtotal="average" baseField="33" baseItem="8"/>
    <dataField name="Average of Health" fld="24" subtotal="average" baseField="33" baseItem="8"/>
    <dataField name="Average of General index" fld="30" subtotal="average" baseField="33" baseItem="8"/>
  </dataFields>
  <formats count="12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33" type="button" dataOnly="0" labelOnly="1" outline="0" axis="axisRow" fieldPosition="0"/>
    </format>
    <format dxfId="76">
      <pivotArea dataOnly="0" labelOnly="1" fieldPosition="0">
        <references count="1">
          <reference field="33" count="4">
            <x v="8"/>
            <x v="9"/>
            <x v="10"/>
            <x v="11"/>
          </reference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33" type="button" dataOnly="0" labelOnly="1" outline="0" axis="axisRow" fieldPosition="0"/>
    </format>
    <format dxfId="70">
      <pivotArea dataOnly="0" labelOnly="1" fieldPosition="0">
        <references count="1">
          <reference field="33" count="4">
            <x v="8"/>
            <x v="9"/>
            <x v="10"/>
            <x v="11"/>
          </reference>
        </references>
      </pivotArea>
    </format>
    <format dxfId="69">
      <pivotArea dataOnly="0" labelOnly="1" grandRow="1" outline="0" fieldPosition="0"/>
    </format>
    <format dxfId="6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dateBetween" evalOrder="-1" id="1">
      <autoFilter ref="A1">
        <filterColumn colId="0">
          <customFilters and="1">
            <customFilter operator="greaterThanOrEqual" val="43922"/>
            <customFilter operator="lessThanOrEqual" val="4626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CFA64-DD58-4663-8A25-1E76BECBFC2A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C199" firstHeaderRow="0" firstDataRow="0" firstDataCol="0"/>
  <pivotFields count="34"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0"/>
        <item t="default"/>
      </items>
    </pivotField>
    <pivotField axis="axisRow" numFmtId="14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3">
        <item sd="0" x="0"/>
        <item sd="0" x="1"/>
        <item sd="0" x="2"/>
        <item sd="0" x="3"/>
        <item sd="0" x="4"/>
        <item sd="0" x="5"/>
        <item x="6"/>
        <item x="7"/>
        <item x="8"/>
        <item sd="0" x="9"/>
        <item sd="0" x="10"/>
        <item sd="0" x="11"/>
        <item sd="0" x="12"/>
      </items>
    </pivotField>
  </pivotFields>
  <rowFields count="4">
    <field x="33"/>
    <field x="32"/>
    <field x="31"/>
    <field x="3"/>
  </rowFields>
  <rowItems count="24">
    <i>
      <x v="1"/>
    </i>
    <i>
      <x v="2"/>
    </i>
    <i>
      <x v="3"/>
    </i>
    <i>
      <x v="4"/>
    </i>
    <i>
      <x v="5"/>
    </i>
    <i>
      <x v="6"/>
    </i>
    <i r="1">
      <x v="1"/>
    </i>
    <i r="1">
      <x v="2"/>
    </i>
    <i r="1">
      <x v="3"/>
    </i>
    <i r="1">
      <x v="4"/>
    </i>
    <i>
      <x v="7"/>
    </i>
    <i r="1">
      <x v="1"/>
    </i>
    <i r="1">
      <x v="2"/>
    </i>
    <i r="1">
      <x v="3"/>
    </i>
    <i r="1">
      <x v="4"/>
    </i>
    <i>
      <x v="8"/>
    </i>
    <i r="1">
      <x v="1"/>
    </i>
    <i r="1">
      <x v="2"/>
    </i>
    <i r="1">
      <x v="3"/>
    </i>
    <i r="1">
      <x v="4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Food and beverages" fld="16" subtotal="average" baseField="1" baseItem="6"/>
    <dataField name="Average of Fuel and light" fld="22" subtotal="average" baseField="1" baseItem="6"/>
    <dataField name="Average of Health" fld="24" subtotal="average" baseField="1" baseItem="6"/>
    <dataField name="Average of Transport and communication" fld="25" subtotal="average" baseField="1" baseItem="6"/>
  </dataFields>
  <formats count="4">
    <format dxfId="83">
      <pivotArea type="all" dataOnly="0" outline="0" fieldPosition="0"/>
    </format>
    <format dxfId="82">
      <pivotArea outline="0" collapsedLevelsAreSubtotals="1" fieldPosition="0"/>
    </format>
    <format dxfId="81">
      <pivotArea type="all" dataOnly="0" outline="0" fieldPosition="0"/>
    </format>
    <format dxfId="8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aptionBetween" evalOrder="-1" id="2" stringValue1="2019" stringValue2="2021">
      <autoFilter ref="A1">
        <filterColumn colId="0">
          <customFilters and="1">
            <customFilter operator="greaterThanOrEqual" val="2019"/>
            <customFilter operator="lessThanOrEqual" val="202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C7F0-7E8A-4852-BA5C-656DB87A81A8}">
  <dimension ref="A1:P249"/>
  <sheetViews>
    <sheetView workbookViewId="0">
      <selection activeCell="C31" sqref="C31"/>
    </sheetView>
  </sheetViews>
  <sheetFormatPr defaultRowHeight="14.4" x14ac:dyDescent="0.3"/>
  <cols>
    <col min="1" max="1" width="8.88671875" bestFit="1" customWidth="1"/>
    <col min="3" max="3" width="12.5546875" bestFit="1" customWidth="1"/>
    <col min="4" max="4" width="22.33203125" bestFit="1" customWidth="1"/>
    <col min="5" max="5" width="36.44140625" bestFit="1" customWidth="1"/>
    <col min="6" max="6" width="36.6640625" bestFit="1" customWidth="1"/>
    <col min="7" max="7" width="22.109375" bestFit="1" customWidth="1"/>
    <col min="8" max="8" width="34.33203125" bestFit="1" customWidth="1"/>
    <col min="9" max="9" width="32.109375" bestFit="1" customWidth="1"/>
    <col min="10" max="10" width="35.44140625" bestFit="1" customWidth="1"/>
    <col min="11" max="11" width="16.109375" bestFit="1" customWidth="1"/>
    <col min="12" max="12" width="17.5546875" bestFit="1" customWidth="1"/>
    <col min="13" max="13" width="22.77734375" bestFit="1" customWidth="1"/>
    <col min="14" max="14" width="29.88671875" bestFit="1" customWidth="1"/>
    <col min="15" max="15" width="15.21875" bestFit="1" customWidth="1"/>
    <col min="16" max="16" width="13.6640625" bestFit="1" customWidth="1"/>
  </cols>
  <sheetData>
    <row r="1" spans="1:14" ht="14.4" customHeight="1" x14ac:dyDescent="0.45">
      <c r="C1" s="38" t="s">
        <v>91</v>
      </c>
      <c r="D1" s="38"/>
      <c r="E1" s="38"/>
      <c r="F1" s="38"/>
      <c r="G1" s="38"/>
      <c r="H1" s="23"/>
      <c r="I1" s="23"/>
      <c r="J1" s="23"/>
      <c r="K1" s="23"/>
      <c r="L1" s="23"/>
      <c r="M1" s="23"/>
      <c r="N1" s="23"/>
    </row>
    <row r="2" spans="1:14" ht="14.4" customHeight="1" x14ac:dyDescent="0.45">
      <c r="C2" s="38"/>
      <c r="D2" s="38"/>
      <c r="E2" s="38"/>
      <c r="F2" s="38"/>
      <c r="G2" s="38"/>
      <c r="H2" s="23"/>
      <c r="I2" s="23"/>
      <c r="J2" s="23"/>
      <c r="K2" s="23"/>
      <c r="L2" s="23"/>
      <c r="M2" s="23"/>
      <c r="N2" s="23"/>
    </row>
    <row r="3" spans="1:14" ht="14.4" customHeight="1" x14ac:dyDescent="0.45">
      <c r="C3" s="38"/>
      <c r="D3" s="38"/>
      <c r="E3" s="38"/>
      <c r="F3" s="38"/>
      <c r="G3" s="38"/>
      <c r="H3" s="8"/>
      <c r="I3" s="8"/>
      <c r="J3" s="8"/>
      <c r="K3" s="8"/>
      <c r="L3" s="8"/>
      <c r="M3" s="8"/>
      <c r="N3" s="8"/>
    </row>
    <row r="4" spans="1:14" ht="14.4" customHeight="1" x14ac:dyDescent="0.45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14.4" customHeight="1" x14ac:dyDescent="0.45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14.4" customHeight="1" x14ac:dyDescent="0.45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14.4" customHeight="1" x14ac:dyDescent="0.45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4.4" customHeight="1" x14ac:dyDescent="0.45"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10" spans="1:14" x14ac:dyDescent="0.3">
      <c r="C10" s="17" t="s">
        <v>107</v>
      </c>
      <c r="D10" t="s">
        <v>165</v>
      </c>
    </row>
    <row r="12" spans="1:14" x14ac:dyDescent="0.3">
      <c r="A12" s="1" t="s">
        <v>167</v>
      </c>
      <c r="C12" t="s">
        <v>87</v>
      </c>
      <c r="D12" t="s">
        <v>79</v>
      </c>
      <c r="E12" t="s">
        <v>83</v>
      </c>
      <c r="F12" t="s">
        <v>85</v>
      </c>
      <c r="G12" t="s">
        <v>82</v>
      </c>
      <c r="H12" t="s">
        <v>86</v>
      </c>
      <c r="I12" t="s">
        <v>90</v>
      </c>
      <c r="J12" t="s">
        <v>80</v>
      </c>
      <c r="K12" t="s">
        <v>84</v>
      </c>
      <c r="L12" t="s">
        <v>88</v>
      </c>
      <c r="M12" t="s">
        <v>89</v>
      </c>
      <c r="N12" t="s">
        <v>81</v>
      </c>
    </row>
    <row r="13" spans="1:14" x14ac:dyDescent="0.3">
      <c r="A13" s="1"/>
      <c r="C13">
        <v>141.13114754098362</v>
      </c>
      <c r="D13">
        <v>142.51002710027106</v>
      </c>
      <c r="E13">
        <v>136.68688524590166</v>
      </c>
      <c r="F13">
        <v>127.17049180327859</v>
      </c>
      <c r="G13">
        <v>136.51002710027097</v>
      </c>
      <c r="H13">
        <v>133.89180327868851</v>
      </c>
      <c r="I13">
        <v>133.35</v>
      </c>
      <c r="J13">
        <v>155.38579234972681</v>
      </c>
      <c r="K13">
        <v>138.51680216802174</v>
      </c>
      <c r="L13">
        <v>139.25599999999991</v>
      </c>
      <c r="M13">
        <v>134.23579234972684</v>
      </c>
      <c r="N13">
        <v>141.67431693989073</v>
      </c>
    </row>
    <row r="14" spans="1:14" x14ac:dyDescent="0.3">
      <c r="A14" s="1"/>
    </row>
    <row r="15" spans="1:14" x14ac:dyDescent="0.3">
      <c r="C15" s="18" t="s">
        <v>87</v>
      </c>
      <c r="D15" s="18" t="s">
        <v>79</v>
      </c>
      <c r="E15" s="18" t="s">
        <v>83</v>
      </c>
      <c r="F15" s="18" t="s">
        <v>85</v>
      </c>
      <c r="G15" s="18" t="s">
        <v>82</v>
      </c>
      <c r="H15" s="18" t="s">
        <v>86</v>
      </c>
      <c r="I15" s="18" t="s">
        <v>90</v>
      </c>
      <c r="J15" s="18" t="s">
        <v>80</v>
      </c>
      <c r="K15" s="18" t="s">
        <v>84</v>
      </c>
      <c r="L15" s="18" t="s">
        <v>88</v>
      </c>
      <c r="M15" s="18" t="s">
        <v>89</v>
      </c>
      <c r="N15" s="18" t="s">
        <v>81</v>
      </c>
    </row>
    <row r="16" spans="1:14" x14ac:dyDescent="0.3">
      <c r="C16">
        <v>141.13114754098362</v>
      </c>
      <c r="D16">
        <v>142.51002710027106</v>
      </c>
      <c r="E16">
        <v>136.68688524590166</v>
      </c>
      <c r="F16">
        <v>127.17049180327859</v>
      </c>
      <c r="G16">
        <v>136.51002710027097</v>
      </c>
      <c r="H16">
        <v>133.89180327868851</v>
      </c>
      <c r="I16">
        <v>133.35</v>
      </c>
      <c r="J16">
        <v>155.38579234972681</v>
      </c>
      <c r="K16">
        <v>138.51680216802174</v>
      </c>
      <c r="L16">
        <v>139.25599999999991</v>
      </c>
      <c r="M16">
        <v>134.23579234972684</v>
      </c>
      <c r="N16">
        <v>141.67431693989073</v>
      </c>
    </row>
    <row r="17" spans="1:14" x14ac:dyDescent="0.3">
      <c r="C17" s="19">
        <f>C16/1660.32*100</f>
        <v>8.5002377578408748</v>
      </c>
      <c r="D17" s="19">
        <f t="shared" ref="D17:F17" si="0">D16/1660.32*100</f>
        <v>8.5832867820824337</v>
      </c>
      <c r="E17" s="19">
        <f t="shared" si="0"/>
        <v>8.2325627135673649</v>
      </c>
      <c r="F17" s="19">
        <f t="shared" si="0"/>
        <v>7.6593964900307538</v>
      </c>
      <c r="G17" s="19">
        <f t="shared" ref="G17" si="1">G16/1660.32*100</f>
        <v>8.2219106618164552</v>
      </c>
      <c r="H17" s="19">
        <f t="shared" ref="H17:I17" si="2">H16/1660.32*100</f>
        <v>8.0642167340445532</v>
      </c>
      <c r="I17" s="19">
        <f t="shared" si="2"/>
        <v>8.0315842729112461</v>
      </c>
      <c r="J17" s="19">
        <f>J16/1660.32*100</f>
        <v>9.3587857972997259</v>
      </c>
      <c r="K17" s="19">
        <f t="shared" ref="K17" si="3">K16/1660.32*100</f>
        <v>8.3427774265214989</v>
      </c>
      <c r="L17" s="19">
        <f t="shared" ref="L17" si="4">L16/1660.32*100</f>
        <v>8.3872988339597132</v>
      </c>
      <c r="M17" s="19">
        <f t="shared" ref="M17" si="5">M16/1660.32*100</f>
        <v>8.0849349733621736</v>
      </c>
      <c r="N17" s="19">
        <f t="shared" ref="N17" si="6">N16/1660.32*100</f>
        <v>8.532952499511584</v>
      </c>
    </row>
    <row r="18" spans="1:14" x14ac:dyDescent="0.3">
      <c r="C18" s="18" t="s">
        <v>87</v>
      </c>
      <c r="D18" s="18" t="s">
        <v>79</v>
      </c>
      <c r="E18" s="18" t="s">
        <v>83</v>
      </c>
      <c r="F18" s="18" t="s">
        <v>85</v>
      </c>
      <c r="G18" s="18" t="s">
        <v>82</v>
      </c>
      <c r="H18" s="18" t="s">
        <v>86</v>
      </c>
      <c r="I18" s="18" t="s">
        <v>90</v>
      </c>
      <c r="J18" s="18" t="s">
        <v>80</v>
      </c>
      <c r="K18" s="18" t="s">
        <v>84</v>
      </c>
      <c r="L18" s="18" t="s">
        <v>88</v>
      </c>
      <c r="M18" s="18" t="s">
        <v>89</v>
      </c>
      <c r="N18" s="18" t="s">
        <v>81</v>
      </c>
    </row>
    <row r="19" spans="1:14" x14ac:dyDescent="0.3">
      <c r="C19" s="19">
        <f t="shared" ref="C19:N19" si="7">C16/1660.32*100</f>
        <v>8.5002377578408748</v>
      </c>
      <c r="D19" s="19">
        <f t="shared" si="7"/>
        <v>8.5832867820824337</v>
      </c>
      <c r="E19" s="19">
        <f t="shared" si="7"/>
        <v>8.2325627135673649</v>
      </c>
      <c r="F19" s="19">
        <f t="shared" si="7"/>
        <v>7.6593964900307538</v>
      </c>
      <c r="G19" s="19">
        <f t="shared" si="7"/>
        <v>8.2219106618164552</v>
      </c>
      <c r="H19" s="19">
        <f t="shared" si="7"/>
        <v>8.0642167340445532</v>
      </c>
      <c r="I19" s="19">
        <f t="shared" si="7"/>
        <v>8.0315842729112461</v>
      </c>
      <c r="J19" s="19">
        <f t="shared" si="7"/>
        <v>9.3587857972997259</v>
      </c>
      <c r="K19" s="19">
        <f t="shared" si="7"/>
        <v>8.3427774265214989</v>
      </c>
      <c r="L19" s="19">
        <f t="shared" si="7"/>
        <v>8.3872988339597132</v>
      </c>
      <c r="M19" s="19">
        <f t="shared" si="7"/>
        <v>8.0849349733621736</v>
      </c>
      <c r="N19" s="19">
        <f t="shared" si="7"/>
        <v>8.532952499511584</v>
      </c>
    </row>
    <row r="20" spans="1:14" x14ac:dyDescent="0.3"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x14ac:dyDescent="0.3"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1:14" ht="57.6" customHeight="1" x14ac:dyDescent="0.3">
      <c r="A22" s="39" t="s">
        <v>166</v>
      </c>
      <c r="B22" s="14"/>
      <c r="C22" s="18" t="s">
        <v>87</v>
      </c>
      <c r="D22" s="18" t="s">
        <v>79</v>
      </c>
      <c r="E22" s="18" t="s">
        <v>83</v>
      </c>
      <c r="F22" s="18" t="s">
        <v>85</v>
      </c>
      <c r="G22" s="18" t="s">
        <v>82</v>
      </c>
      <c r="H22" s="18" t="s">
        <v>86</v>
      </c>
      <c r="I22" s="18" t="s">
        <v>90</v>
      </c>
      <c r="J22" s="18" t="s">
        <v>80</v>
      </c>
      <c r="K22" s="18" t="s">
        <v>84</v>
      </c>
      <c r="L22" s="18" t="s">
        <v>88</v>
      </c>
      <c r="M22" s="18" t="s">
        <v>89</v>
      </c>
      <c r="N22" s="18" t="s">
        <v>81</v>
      </c>
    </row>
    <row r="23" spans="1:14" x14ac:dyDescent="0.3">
      <c r="A23" s="39"/>
      <c r="B23" s="14"/>
      <c r="C23">
        <v>177.4</v>
      </c>
      <c r="D23">
        <v>179.66666666666666</v>
      </c>
      <c r="E23">
        <v>175.0333333333333</v>
      </c>
      <c r="F23">
        <v>164.96666666666667</v>
      </c>
      <c r="G23">
        <v>182.9</v>
      </c>
      <c r="H23">
        <v>171.4</v>
      </c>
      <c r="I23">
        <v>185.23333333333332</v>
      </c>
      <c r="J23">
        <v>201.70000000000002</v>
      </c>
      <c r="K23">
        <v>185.23333333333335</v>
      </c>
      <c r="L23">
        <v>163.48333333333332</v>
      </c>
      <c r="M23">
        <v>175.6</v>
      </c>
      <c r="N23">
        <v>185.43333333333331</v>
      </c>
    </row>
    <row r="24" spans="1:14" x14ac:dyDescent="0.3">
      <c r="A24" s="1"/>
      <c r="B24" s="14"/>
      <c r="C24" s="19">
        <f>C23/2148.05*100</f>
        <v>8.258653197085728</v>
      </c>
      <c r="D24" s="19">
        <f t="shared" ref="D24:N24" si="8">D23/2148.05*100</f>
        <v>8.3641752597316934</v>
      </c>
      <c r="E24" s="19">
        <f t="shared" si="8"/>
        <v>8.1484757493230262</v>
      </c>
      <c r="F24" s="19">
        <f t="shared" si="8"/>
        <v>7.6798336475718276</v>
      </c>
      <c r="G24" s="19">
        <f t="shared" si="8"/>
        <v>8.5146993785060872</v>
      </c>
      <c r="H24" s="19">
        <f t="shared" si="8"/>
        <v>7.9793300900817012</v>
      </c>
      <c r="I24" s="19">
        <f t="shared" si="8"/>
        <v>8.6233250312298733</v>
      </c>
      <c r="J24" s="19">
        <f t="shared" si="8"/>
        <v>9.3899117804520387</v>
      </c>
      <c r="K24" s="19">
        <f t="shared" si="8"/>
        <v>8.623325031229875</v>
      </c>
      <c r="L24" s="19">
        <f t="shared" si="8"/>
        <v>7.6107787683402766</v>
      </c>
      <c r="M24" s="19">
        <f t="shared" si="8"/>
        <v>8.1748562649845198</v>
      </c>
      <c r="N24" s="19">
        <f t="shared" si="8"/>
        <v>8.6326358014633406</v>
      </c>
    </row>
    <row r="25" spans="1:14" x14ac:dyDescent="0.3"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4" x14ac:dyDescent="0.3"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8" x14ac:dyDescent="0.35">
      <c r="C27" s="15" t="s">
        <v>168</v>
      </c>
      <c r="D27" s="15"/>
      <c r="E27" s="15"/>
      <c r="F27" s="15"/>
      <c r="G27" s="15"/>
      <c r="H27" s="15"/>
    </row>
    <row r="28" spans="1:14" ht="15.6" x14ac:dyDescent="0.3">
      <c r="C28" s="15"/>
      <c r="D28" s="15"/>
      <c r="E28" s="15"/>
      <c r="F28" s="15"/>
      <c r="G28" s="15"/>
      <c r="H28" s="15"/>
    </row>
    <row r="29" spans="1:14" ht="15.6" x14ac:dyDescent="0.3">
      <c r="C29" s="15"/>
      <c r="D29" s="15"/>
      <c r="E29" s="15"/>
      <c r="F29" s="15"/>
      <c r="G29" s="15"/>
      <c r="H29" s="15"/>
    </row>
    <row r="30" spans="1:14" ht="15.6" x14ac:dyDescent="0.3">
      <c r="C30" s="7"/>
      <c r="D30" s="7"/>
      <c r="E30" s="7"/>
      <c r="F30" s="7"/>
      <c r="G30" s="7"/>
      <c r="H30" s="7"/>
    </row>
    <row r="31" spans="1:14" ht="15.6" x14ac:dyDescent="0.3">
      <c r="C31" s="7"/>
      <c r="D31" s="7"/>
      <c r="E31" s="7"/>
      <c r="F31" s="7"/>
      <c r="G31" s="7"/>
      <c r="H31" s="7"/>
    </row>
    <row r="32" spans="1:14" ht="15.6" x14ac:dyDescent="0.3">
      <c r="C32" s="7"/>
      <c r="D32" s="7"/>
      <c r="E32" s="7"/>
      <c r="F32" s="7"/>
      <c r="G32" s="7"/>
      <c r="H32" s="7"/>
    </row>
    <row r="33" spans="3:8" ht="15.6" x14ac:dyDescent="0.3">
      <c r="C33" s="7"/>
      <c r="D33" s="7"/>
      <c r="E33" s="7"/>
      <c r="F33" s="7"/>
      <c r="G33" s="7"/>
      <c r="H33" s="7"/>
    </row>
    <row r="34" spans="3:8" ht="15.6" x14ac:dyDescent="0.3">
      <c r="C34" s="7"/>
      <c r="D34" s="7"/>
      <c r="E34" s="7"/>
      <c r="F34" s="7"/>
      <c r="G34" s="7"/>
      <c r="H34" s="7"/>
    </row>
    <row r="35" spans="3:8" ht="15.6" x14ac:dyDescent="0.3">
      <c r="F35" s="7"/>
      <c r="G35" s="7"/>
      <c r="H35" s="7"/>
    </row>
    <row r="36" spans="3:8" ht="15.6" x14ac:dyDescent="0.3">
      <c r="F36" s="7"/>
      <c r="G36" s="7"/>
      <c r="H36" s="7"/>
    </row>
    <row r="37" spans="3:8" ht="15.6" x14ac:dyDescent="0.3">
      <c r="F37" s="7"/>
      <c r="G37" s="7"/>
      <c r="H37" s="7"/>
    </row>
    <row r="38" spans="3:8" ht="15.6" x14ac:dyDescent="0.3">
      <c r="F38" s="7"/>
      <c r="G38" s="7"/>
      <c r="H38" s="7"/>
    </row>
    <row r="39" spans="3:8" ht="15.6" x14ac:dyDescent="0.3">
      <c r="F39" s="7"/>
      <c r="G39" s="7"/>
      <c r="H39" s="7"/>
    </row>
    <row r="40" spans="3:8" ht="15.6" x14ac:dyDescent="0.3">
      <c r="F40" s="7"/>
      <c r="G40" s="7"/>
      <c r="H40" s="7"/>
    </row>
    <row r="41" spans="3:8" ht="15.6" x14ac:dyDescent="0.3">
      <c r="F41" s="7"/>
      <c r="G41" s="7"/>
      <c r="H41" s="7"/>
    </row>
    <row r="42" spans="3:8" ht="15.6" x14ac:dyDescent="0.3">
      <c r="F42" s="7"/>
      <c r="G42" s="7"/>
      <c r="H42" s="7"/>
    </row>
    <row r="43" spans="3:8" ht="15.6" x14ac:dyDescent="0.3">
      <c r="F43" s="7"/>
      <c r="G43" s="7"/>
      <c r="H43" s="7"/>
    </row>
    <row r="44" spans="3:8" ht="15.6" x14ac:dyDescent="0.3">
      <c r="F44" s="7"/>
      <c r="G44" s="7"/>
      <c r="H44" s="7"/>
    </row>
    <row r="45" spans="3:8" ht="15.6" x14ac:dyDescent="0.3">
      <c r="F45" s="7"/>
      <c r="G45" s="7"/>
      <c r="H45" s="7"/>
    </row>
    <row r="46" spans="3:8" ht="15.6" x14ac:dyDescent="0.3">
      <c r="F46" s="7"/>
      <c r="G46" s="7"/>
      <c r="H46" s="7"/>
    </row>
    <row r="47" spans="3:8" ht="15.6" x14ac:dyDescent="0.3">
      <c r="F47" s="7"/>
      <c r="G47" s="7"/>
      <c r="H47" s="7"/>
    </row>
    <row r="48" spans="3:8" ht="15.6" x14ac:dyDescent="0.3">
      <c r="F48" s="15"/>
      <c r="G48" s="15"/>
      <c r="H48" s="15"/>
    </row>
    <row r="49" spans="1:11" ht="15.6" x14ac:dyDescent="0.3">
      <c r="F49" s="15"/>
      <c r="G49" s="15"/>
      <c r="H49" s="15"/>
    </row>
    <row r="50" spans="1:11" ht="15.6" x14ac:dyDescent="0.3">
      <c r="F50" s="15"/>
      <c r="G50" s="15"/>
      <c r="H50" s="15"/>
    </row>
    <row r="51" spans="1:11" ht="15.6" x14ac:dyDescent="0.3">
      <c r="F51" s="7"/>
      <c r="G51" s="7"/>
      <c r="H51" s="7"/>
    </row>
    <row r="52" spans="1:11" ht="15.6" x14ac:dyDescent="0.3">
      <c r="F52" s="7"/>
      <c r="G52" s="7"/>
      <c r="H52" s="7"/>
    </row>
    <row r="53" spans="1:11" ht="15.6" x14ac:dyDescent="0.3">
      <c r="C53" s="7"/>
      <c r="D53" s="7"/>
      <c r="E53" s="7"/>
      <c r="F53" s="7"/>
      <c r="G53" s="7"/>
      <c r="H53" s="7"/>
    </row>
    <row r="54" spans="1:11" ht="15.6" x14ac:dyDescent="0.3">
      <c r="C54" s="7"/>
      <c r="D54" s="7"/>
      <c r="E54" s="7"/>
      <c r="F54" s="7"/>
      <c r="G54" s="7"/>
      <c r="H54" s="7"/>
    </row>
    <row r="55" spans="1:11" ht="15.6" x14ac:dyDescent="0.3">
      <c r="C55" s="7"/>
      <c r="D55" s="7"/>
      <c r="E55" s="7"/>
      <c r="F55" s="7"/>
      <c r="G55" s="7"/>
      <c r="H55" s="7"/>
    </row>
    <row r="56" spans="1:11" ht="15.6" x14ac:dyDescent="0.3">
      <c r="C56" s="7"/>
      <c r="D56" s="7"/>
      <c r="E56" s="7"/>
      <c r="F56" s="7"/>
      <c r="G56" s="7"/>
      <c r="H56" s="7"/>
    </row>
    <row r="57" spans="1:11" ht="15.6" x14ac:dyDescent="0.3">
      <c r="C57" s="7"/>
      <c r="D57" s="7"/>
      <c r="E57" s="7"/>
      <c r="F57" s="7"/>
      <c r="G57" s="7"/>
      <c r="H57" s="7"/>
    </row>
    <row r="58" spans="1:11" x14ac:dyDescent="0.3">
      <c r="C58" s="2"/>
      <c r="D58" s="2"/>
      <c r="E58" s="2"/>
      <c r="F58" s="2"/>
      <c r="G58" s="2"/>
      <c r="H58" s="2"/>
    </row>
    <row r="59" spans="1:11" x14ac:dyDescent="0.3">
      <c r="C59" s="2"/>
      <c r="D59" s="2"/>
      <c r="E59" s="2"/>
      <c r="F59" s="2"/>
      <c r="G59" s="2"/>
      <c r="H59" s="2"/>
    </row>
    <row r="60" spans="1:11" x14ac:dyDescent="0.3">
      <c r="C60" s="2"/>
      <c r="D60" s="2"/>
      <c r="E60" s="2"/>
      <c r="F60" s="2"/>
      <c r="G60" s="2"/>
      <c r="H60" s="2"/>
    </row>
    <row r="61" spans="1:11" x14ac:dyDescent="0.3">
      <c r="C61" s="2"/>
      <c r="D61" s="2"/>
      <c r="E61" s="2"/>
      <c r="F61" s="2"/>
      <c r="G61" s="2"/>
      <c r="H61" s="2"/>
    </row>
    <row r="63" spans="1:11" ht="14.4" customHeight="1" x14ac:dyDescent="0.45">
      <c r="A63" s="43" t="s">
        <v>92</v>
      </c>
      <c r="B63" s="43"/>
      <c r="C63" s="43"/>
      <c r="D63" s="43"/>
      <c r="E63" s="43"/>
      <c r="F63" s="43"/>
      <c r="G63" s="43"/>
      <c r="H63" s="9"/>
      <c r="I63" s="9"/>
      <c r="J63" s="9"/>
      <c r="K63" s="9"/>
    </row>
    <row r="64" spans="1:11" ht="14.4" customHeight="1" x14ac:dyDescent="0.45">
      <c r="A64" s="43"/>
      <c r="B64" s="43"/>
      <c r="C64" s="43"/>
      <c r="D64" s="43"/>
      <c r="E64" s="43"/>
      <c r="F64" s="43"/>
      <c r="G64" s="43"/>
      <c r="H64" s="9"/>
      <c r="I64" s="9"/>
      <c r="J64" s="9"/>
      <c r="K64" s="9"/>
    </row>
    <row r="65" spans="3:11" ht="14.4" customHeight="1" x14ac:dyDescent="0.45">
      <c r="C65" s="9"/>
      <c r="D65" s="9"/>
      <c r="E65" s="9"/>
      <c r="F65" s="9"/>
      <c r="G65" s="9"/>
      <c r="H65" s="9"/>
      <c r="I65" s="9"/>
      <c r="J65" s="9"/>
      <c r="K65" s="9"/>
    </row>
    <row r="68" spans="3:11" x14ac:dyDescent="0.3">
      <c r="C68" s="17" t="s">
        <v>93</v>
      </c>
      <c r="D68" t="s">
        <v>95</v>
      </c>
    </row>
    <row r="69" spans="3:11" x14ac:dyDescent="0.3">
      <c r="C69" s="3">
        <v>2013</v>
      </c>
      <c r="D69">
        <v>110.01388888888889</v>
      </c>
    </row>
    <row r="70" spans="3:11" x14ac:dyDescent="0.3">
      <c r="C70" s="3">
        <v>2014</v>
      </c>
      <c r="D70">
        <v>117.32777777777775</v>
      </c>
    </row>
    <row r="71" spans="3:11" x14ac:dyDescent="0.3">
      <c r="C71" s="3">
        <v>2015</v>
      </c>
      <c r="D71">
        <v>123.0361111111111</v>
      </c>
    </row>
    <row r="72" spans="3:11" x14ac:dyDescent="0.3">
      <c r="C72" s="3">
        <v>2016</v>
      </c>
      <c r="D72">
        <v>129.10000000000002</v>
      </c>
    </row>
    <row r="73" spans="3:11" x14ac:dyDescent="0.3">
      <c r="C73" s="3">
        <v>2017</v>
      </c>
      <c r="D73">
        <v>133.38611111111112</v>
      </c>
    </row>
    <row r="74" spans="3:11" x14ac:dyDescent="0.3">
      <c r="C74" s="3">
        <v>2018</v>
      </c>
      <c r="D74">
        <v>138.66944444444442</v>
      </c>
    </row>
    <row r="75" spans="3:11" x14ac:dyDescent="0.3">
      <c r="C75" s="3">
        <v>2019</v>
      </c>
      <c r="D75">
        <v>144.12727272727273</v>
      </c>
    </row>
    <row r="76" spans="3:11" x14ac:dyDescent="0.3">
      <c r="C76" s="3">
        <v>2020</v>
      </c>
      <c r="D76">
        <v>153.32999999999996</v>
      </c>
    </row>
    <row r="77" spans="3:11" x14ac:dyDescent="0.3">
      <c r="C77">
        <v>2021</v>
      </c>
      <c r="D77">
        <v>161.41666666666669</v>
      </c>
    </row>
    <row r="78" spans="3:11" x14ac:dyDescent="0.3">
      <c r="C78">
        <v>2022</v>
      </c>
      <c r="D78">
        <v>172.07500000000005</v>
      </c>
    </row>
    <row r="79" spans="3:11" x14ac:dyDescent="0.3">
      <c r="C79" s="3">
        <v>2023</v>
      </c>
      <c r="D79">
        <v>177.57333333333332</v>
      </c>
    </row>
    <row r="80" spans="3:11" x14ac:dyDescent="0.3">
      <c r="C80" s="3" t="s">
        <v>94</v>
      </c>
      <c r="D80">
        <v>139.56448087431698</v>
      </c>
    </row>
    <row r="83" spans="1:8" x14ac:dyDescent="0.3">
      <c r="D83" s="1" t="s">
        <v>96</v>
      </c>
      <c r="E83" s="1" t="s">
        <v>97</v>
      </c>
      <c r="F83" s="1" t="s">
        <v>98</v>
      </c>
    </row>
    <row r="84" spans="1:8" x14ac:dyDescent="0.3">
      <c r="D84">
        <v>2017</v>
      </c>
      <c r="F84">
        <v>133.38611111111112</v>
      </c>
    </row>
    <row r="85" spans="1:8" x14ac:dyDescent="0.3">
      <c r="D85">
        <v>2018</v>
      </c>
      <c r="E85">
        <f>(F85-F84)/F84*100</f>
        <v>3.9609321310314436</v>
      </c>
      <c r="F85">
        <v>138.66944444444442</v>
      </c>
    </row>
    <row r="86" spans="1:8" x14ac:dyDescent="0.3">
      <c r="D86">
        <v>2019</v>
      </c>
      <c r="E86">
        <f t="shared" ref="E86:E90" si="9">(F86-F85)/F85*100</f>
        <v>3.9358550145593822</v>
      </c>
      <c r="F86">
        <v>144.12727272727273</v>
      </c>
    </row>
    <row r="87" spans="1:8" x14ac:dyDescent="0.3">
      <c r="D87">
        <v>2020</v>
      </c>
      <c r="E87">
        <f t="shared" si="9"/>
        <v>6.3851393969975749</v>
      </c>
      <c r="F87">
        <v>153.32999999999996</v>
      </c>
    </row>
    <row r="88" spans="1:8" x14ac:dyDescent="0.3">
      <c r="D88">
        <v>2021</v>
      </c>
      <c r="E88">
        <f t="shared" si="9"/>
        <v>5.2740276962543087</v>
      </c>
      <c r="F88">
        <v>161.41666666666669</v>
      </c>
    </row>
    <row r="89" spans="1:8" x14ac:dyDescent="0.3">
      <c r="D89" s="1">
        <v>2022</v>
      </c>
      <c r="E89" s="1">
        <f t="shared" si="9"/>
        <v>6.6029943211151423</v>
      </c>
      <c r="F89" s="1">
        <v>172.07500000000005</v>
      </c>
    </row>
    <row r="90" spans="1:8" x14ac:dyDescent="0.3">
      <c r="D90">
        <v>2023</v>
      </c>
      <c r="E90">
        <f t="shared" si="9"/>
        <v>3.1953121216523472</v>
      </c>
      <c r="F90">
        <v>177.57333333333332</v>
      </c>
    </row>
    <row r="92" spans="1:8" ht="14.4" customHeight="1" x14ac:dyDescent="0.3">
      <c r="A92" s="44" t="s">
        <v>99</v>
      </c>
      <c r="B92" s="44"/>
      <c r="C92" s="44"/>
      <c r="D92" s="44"/>
      <c r="E92" s="44"/>
      <c r="F92" s="44"/>
      <c r="G92" s="7"/>
      <c r="H92" s="7"/>
    </row>
    <row r="93" spans="1:8" ht="14.4" customHeight="1" x14ac:dyDescent="0.3">
      <c r="C93" s="7"/>
      <c r="D93" s="7"/>
      <c r="E93" s="7"/>
      <c r="F93" s="7"/>
      <c r="G93" s="7"/>
      <c r="H93" s="7"/>
    </row>
    <row r="94" spans="1:8" ht="18" x14ac:dyDescent="0.35">
      <c r="F94" s="4" t="s">
        <v>100</v>
      </c>
    </row>
    <row r="95" spans="1:8" x14ac:dyDescent="0.3">
      <c r="F95" t="s">
        <v>101</v>
      </c>
    </row>
    <row r="96" spans="1:8" x14ac:dyDescent="0.3">
      <c r="F96" t="s">
        <v>102</v>
      </c>
    </row>
    <row r="97" spans="2:9" x14ac:dyDescent="0.3">
      <c r="F97" t="s">
        <v>103</v>
      </c>
    </row>
    <row r="98" spans="2:9" x14ac:dyDescent="0.3">
      <c r="F98" t="s">
        <v>104</v>
      </c>
    </row>
    <row r="102" spans="2:9" ht="14.4" customHeight="1" x14ac:dyDescent="0.3">
      <c r="B102" s="40" t="s">
        <v>138</v>
      </c>
      <c r="C102" s="40"/>
      <c r="D102" s="40"/>
      <c r="E102" s="40"/>
      <c r="F102" s="40"/>
      <c r="G102" s="40"/>
      <c r="H102" s="2"/>
      <c r="I102" s="2"/>
    </row>
    <row r="103" spans="2:9" ht="28.8" customHeight="1" x14ac:dyDescent="0.3">
      <c r="B103" s="40"/>
      <c r="C103" s="40"/>
      <c r="D103" s="40"/>
      <c r="E103" s="40"/>
      <c r="F103" s="40"/>
      <c r="G103" s="40"/>
      <c r="H103" s="2"/>
      <c r="I103" s="2"/>
    </row>
    <row r="104" spans="2:9" ht="28.8" x14ac:dyDescent="0.55000000000000004">
      <c r="B104" s="16"/>
      <c r="C104" s="16"/>
      <c r="D104" s="16"/>
      <c r="E104" s="16"/>
      <c r="F104" s="16"/>
      <c r="G104" s="2"/>
      <c r="H104" s="2"/>
      <c r="I104" s="2"/>
    </row>
    <row r="105" spans="2:9" x14ac:dyDescent="0.3">
      <c r="D105" s="2"/>
      <c r="E105" s="2"/>
      <c r="F105" s="2"/>
      <c r="G105" s="2"/>
      <c r="H105" s="2"/>
      <c r="I105" s="2"/>
    </row>
    <row r="114" spans="3:4" x14ac:dyDescent="0.3">
      <c r="C114" s="17" t="s">
        <v>93</v>
      </c>
      <c r="D114" t="s">
        <v>79</v>
      </c>
    </row>
    <row r="115" spans="3:4" x14ac:dyDescent="0.3">
      <c r="C115" s="3" t="s">
        <v>108</v>
      </c>
      <c r="D115">
        <v>177.36190476190478</v>
      </c>
    </row>
    <row r="116" spans="3:4" x14ac:dyDescent="0.3">
      <c r="C116" s="3" t="s">
        <v>114</v>
      </c>
      <c r="D116">
        <v>175.53333333333333</v>
      </c>
    </row>
    <row r="117" spans="3:4" x14ac:dyDescent="0.3">
      <c r="C117" s="3" t="s">
        <v>115</v>
      </c>
      <c r="D117">
        <v>175.63333333333333</v>
      </c>
    </row>
    <row r="118" spans="3:4" x14ac:dyDescent="0.3">
      <c r="C118" s="3" t="s">
        <v>116</v>
      </c>
      <c r="D118">
        <v>176.86666666666667</v>
      </c>
    </row>
    <row r="119" spans="3:4" x14ac:dyDescent="0.3">
      <c r="C119" s="3" t="s">
        <v>117</v>
      </c>
      <c r="D119">
        <v>178.36666666666667</v>
      </c>
    </row>
    <row r="120" spans="3:4" x14ac:dyDescent="0.3">
      <c r="C120" s="3" t="s">
        <v>118</v>
      </c>
      <c r="D120">
        <v>180.1</v>
      </c>
    </row>
    <row r="121" spans="3:4" x14ac:dyDescent="0.3">
      <c r="C121" s="3" t="s">
        <v>119</v>
      </c>
      <c r="D121">
        <v>178.73333333333335</v>
      </c>
    </row>
    <row r="122" spans="3:4" x14ac:dyDescent="0.3">
      <c r="C122" s="3" t="s">
        <v>120</v>
      </c>
      <c r="D122">
        <v>176.29999999999998</v>
      </c>
    </row>
    <row r="123" spans="3:4" x14ac:dyDescent="0.3">
      <c r="C123" s="3" t="s">
        <v>109</v>
      </c>
      <c r="D123">
        <v>178.05333333333334</v>
      </c>
    </row>
    <row r="124" spans="3:4" x14ac:dyDescent="0.3">
      <c r="C124" s="3" t="s">
        <v>110</v>
      </c>
      <c r="D124">
        <v>177.06666666666669</v>
      </c>
    </row>
    <row r="125" spans="3:4" x14ac:dyDescent="0.3">
      <c r="C125" s="3" t="s">
        <v>111</v>
      </c>
      <c r="D125">
        <v>177.5</v>
      </c>
    </row>
    <row r="126" spans="3:4" x14ac:dyDescent="0.3">
      <c r="C126" s="3" t="s">
        <v>112</v>
      </c>
      <c r="D126">
        <v>177.53333333333333</v>
      </c>
    </row>
    <row r="127" spans="3:4" x14ac:dyDescent="0.3">
      <c r="C127" s="3" t="s">
        <v>113</v>
      </c>
      <c r="D127">
        <v>178.5</v>
      </c>
    </row>
    <row r="128" spans="3:4" x14ac:dyDescent="0.3">
      <c r="C128" s="3" t="s">
        <v>38</v>
      </c>
      <c r="D128">
        <v>179.66666666666666</v>
      </c>
    </row>
    <row r="129" spans="3:9" x14ac:dyDescent="0.3">
      <c r="C129" s="3" t="s">
        <v>94</v>
      </c>
      <c r="D129">
        <v>177.65000000000003</v>
      </c>
    </row>
    <row r="131" spans="3:9" x14ac:dyDescent="0.3">
      <c r="D131" s="1" t="s">
        <v>121</v>
      </c>
      <c r="E131" s="1" t="s">
        <v>122</v>
      </c>
      <c r="F131" s="1" t="s">
        <v>123</v>
      </c>
    </row>
    <row r="132" spans="3:9" x14ac:dyDescent="0.3">
      <c r="D132" t="s">
        <v>114</v>
      </c>
      <c r="E132">
        <v>175.53333333333333</v>
      </c>
    </row>
    <row r="133" spans="3:9" x14ac:dyDescent="0.3">
      <c r="D133" t="s">
        <v>115</v>
      </c>
      <c r="E133">
        <v>175.63333333333333</v>
      </c>
      <c r="F133">
        <f>(E133-E132)/E132*100</f>
        <v>5.6969236612226165E-2</v>
      </c>
    </row>
    <row r="134" spans="3:9" x14ac:dyDescent="0.3">
      <c r="D134" t="s">
        <v>116</v>
      </c>
      <c r="E134">
        <v>176.86666666666667</v>
      </c>
      <c r="F134">
        <f t="shared" ref="F134:F143" si="10">(E134-E133)/E133*100</f>
        <v>0.70222053520593009</v>
      </c>
      <c r="H134" s="1" t="s">
        <v>43</v>
      </c>
      <c r="I134" s="1">
        <f>MAX(F133:F143)</f>
        <v>0.97178097551858711</v>
      </c>
    </row>
    <row r="135" spans="3:9" x14ac:dyDescent="0.3">
      <c r="D135" s="3" t="s">
        <v>117</v>
      </c>
      <c r="E135">
        <v>178.36666666666667</v>
      </c>
      <c r="F135">
        <f t="shared" si="10"/>
        <v>0.8480964945344891</v>
      </c>
      <c r="H135" s="1" t="s">
        <v>46</v>
      </c>
      <c r="I135" s="1">
        <f>MIN(F133:F143)</f>
        <v>-1.3614323013801</v>
      </c>
    </row>
    <row r="136" spans="3:9" x14ac:dyDescent="0.3">
      <c r="D136" s="20" t="s">
        <v>118</v>
      </c>
      <c r="E136" s="1">
        <v>180.1</v>
      </c>
      <c r="F136" s="1">
        <f t="shared" si="10"/>
        <v>0.97178097551858711</v>
      </c>
    </row>
    <row r="137" spans="3:9" ht="15.6" x14ac:dyDescent="0.3">
      <c r="D137" s="3" t="s">
        <v>119</v>
      </c>
      <c r="E137">
        <v>178.73333333333335</v>
      </c>
      <c r="F137">
        <f t="shared" si="10"/>
        <v>-0.75883768276882058</v>
      </c>
      <c r="H137" s="15" t="s">
        <v>124</v>
      </c>
    </row>
    <row r="138" spans="3:9" x14ac:dyDescent="0.3">
      <c r="D138" s="20" t="s">
        <v>120</v>
      </c>
      <c r="E138" s="1">
        <v>176.29999999999998</v>
      </c>
      <c r="F138" s="1">
        <f t="shared" si="10"/>
        <v>-1.3614323013801</v>
      </c>
    </row>
    <row r="139" spans="3:9" x14ac:dyDescent="0.3">
      <c r="D139" s="3" t="s">
        <v>110</v>
      </c>
      <c r="E139">
        <v>177.06666666666669</v>
      </c>
      <c r="F139">
        <f t="shared" si="10"/>
        <v>0.43486481376444036</v>
      </c>
    </row>
    <row r="140" spans="3:9" x14ac:dyDescent="0.3">
      <c r="D140" s="3" t="s">
        <v>111</v>
      </c>
      <c r="E140">
        <v>177.5</v>
      </c>
      <c r="F140">
        <f t="shared" si="10"/>
        <v>0.24472891566263666</v>
      </c>
    </row>
    <row r="141" spans="3:9" x14ac:dyDescent="0.3">
      <c r="D141" s="3" t="s">
        <v>112</v>
      </c>
      <c r="E141">
        <v>177.53333333333333</v>
      </c>
      <c r="F141">
        <f t="shared" si="10"/>
        <v>1.8779342723003627E-2</v>
      </c>
    </row>
    <row r="142" spans="3:9" x14ac:dyDescent="0.3">
      <c r="D142" s="3" t="s">
        <v>113</v>
      </c>
      <c r="E142">
        <v>178.5</v>
      </c>
      <c r="F142">
        <f t="shared" si="10"/>
        <v>0.54449868569282867</v>
      </c>
    </row>
    <row r="143" spans="3:9" x14ac:dyDescent="0.3">
      <c r="D143" s="3" t="s">
        <v>38</v>
      </c>
      <c r="E143">
        <v>179.66666666666666</v>
      </c>
      <c r="F143">
        <f t="shared" si="10"/>
        <v>0.65359477124182475</v>
      </c>
    </row>
    <row r="147" spans="1:16" ht="14.4" customHeight="1" x14ac:dyDescent="0.5">
      <c r="A147" s="41" t="s">
        <v>139</v>
      </c>
      <c r="B147" s="41"/>
      <c r="C147" s="41"/>
      <c r="D147" s="41"/>
      <c r="E147" s="41"/>
      <c r="F147" s="41"/>
      <c r="G147" s="41"/>
      <c r="H147" s="41"/>
      <c r="I147" s="13"/>
      <c r="J147" s="13"/>
      <c r="K147" s="13"/>
      <c r="L147" s="13"/>
    </row>
    <row r="148" spans="1:16" ht="14.4" customHeight="1" x14ac:dyDescent="0.5">
      <c r="A148" s="41"/>
      <c r="B148" s="41"/>
      <c r="C148" s="41"/>
      <c r="D148" s="41"/>
      <c r="E148" s="41"/>
      <c r="F148" s="41"/>
      <c r="G148" s="41"/>
      <c r="H148" s="41"/>
      <c r="I148" s="13"/>
      <c r="J148" s="13"/>
      <c r="K148" s="13"/>
      <c r="L148" s="13"/>
    </row>
    <row r="149" spans="1:16" ht="14.4" customHeight="1" x14ac:dyDescent="0.5">
      <c r="C149" s="13"/>
      <c r="D149" s="13"/>
      <c r="E149" s="13"/>
      <c r="F149" s="13"/>
      <c r="G149" s="13"/>
      <c r="H149" s="13"/>
      <c r="I149" s="13"/>
      <c r="J149" s="13"/>
      <c r="K149" s="13"/>
      <c r="L149" s="13"/>
    </row>
    <row r="158" spans="1:16" x14ac:dyDescent="0.3">
      <c r="C158" s="17" t="s">
        <v>93</v>
      </c>
      <c r="D158" t="s">
        <v>125</v>
      </c>
      <c r="E158" t="s">
        <v>126</v>
      </c>
      <c r="F158" t="s">
        <v>127</v>
      </c>
      <c r="G158" t="s">
        <v>79</v>
      </c>
      <c r="H158" t="s">
        <v>128</v>
      </c>
      <c r="I158" t="s">
        <v>129</v>
      </c>
      <c r="J158" t="s">
        <v>130</v>
      </c>
      <c r="K158" t="s">
        <v>131</v>
      </c>
      <c r="L158" t="s">
        <v>132</v>
      </c>
      <c r="M158" t="s">
        <v>133</v>
      </c>
      <c r="N158" t="s">
        <v>134</v>
      </c>
      <c r="O158" t="s">
        <v>135</v>
      </c>
      <c r="P158" t="s">
        <v>136</v>
      </c>
    </row>
    <row r="159" spans="1:16" x14ac:dyDescent="0.3">
      <c r="C159" s="3" t="s">
        <v>108</v>
      </c>
    </row>
    <row r="160" spans="1:16" x14ac:dyDescent="0.3">
      <c r="C160" s="3" t="s">
        <v>114</v>
      </c>
      <c r="D160">
        <v>155.43333333333334</v>
      </c>
      <c r="E160">
        <v>167.06666666666666</v>
      </c>
      <c r="F160">
        <v>120.13333333333333</v>
      </c>
      <c r="G160">
        <v>175.53333333333333</v>
      </c>
      <c r="H160">
        <v>184.03333333333333</v>
      </c>
      <c r="I160">
        <v>165.86666666666667</v>
      </c>
      <c r="J160">
        <v>187.03333333333333</v>
      </c>
      <c r="K160">
        <v>186.5</v>
      </c>
      <c r="L160">
        <v>164.16666666666666</v>
      </c>
      <c r="M160">
        <v>220</v>
      </c>
      <c r="N160">
        <v>199.20000000000002</v>
      </c>
      <c r="O160">
        <v>169.86666666666665</v>
      </c>
      <c r="P160">
        <v>171.06666666666669</v>
      </c>
    </row>
    <row r="161" spans="3:16" x14ac:dyDescent="0.3">
      <c r="C161" s="3" t="s">
        <v>115</v>
      </c>
      <c r="D161">
        <v>157</v>
      </c>
      <c r="E161">
        <v>167.56666666666669</v>
      </c>
      <c r="F161">
        <v>120.23333333333333</v>
      </c>
      <c r="G161">
        <v>175.63333333333333</v>
      </c>
      <c r="H161">
        <v>185.33333333333334</v>
      </c>
      <c r="I161">
        <v>166.66666666666666</v>
      </c>
      <c r="J161">
        <v>186.4</v>
      </c>
      <c r="K161">
        <v>189.36666666666667</v>
      </c>
      <c r="L161">
        <v>164.23333333333335</v>
      </c>
      <c r="M161">
        <v>213.63333333333335</v>
      </c>
      <c r="N161">
        <v>194.26666666666665</v>
      </c>
      <c r="O161">
        <v>174.43333333333331</v>
      </c>
      <c r="P161">
        <v>175.36666666666665</v>
      </c>
    </row>
    <row r="162" spans="3:16" x14ac:dyDescent="0.3">
      <c r="C162" s="3" t="s">
        <v>116</v>
      </c>
      <c r="D162">
        <v>160.63333333333333</v>
      </c>
      <c r="E162">
        <v>168.03333333333333</v>
      </c>
      <c r="F162">
        <v>121.10000000000001</v>
      </c>
      <c r="G162">
        <v>176.86666666666667</v>
      </c>
      <c r="H162">
        <v>186.4</v>
      </c>
      <c r="I162">
        <v>168.13333333333333</v>
      </c>
      <c r="J162">
        <v>190.96666666666667</v>
      </c>
      <c r="K162">
        <v>192.96666666666667</v>
      </c>
      <c r="L162">
        <v>167.20000000000002</v>
      </c>
      <c r="M162">
        <v>207.16666666666666</v>
      </c>
      <c r="N162">
        <v>191</v>
      </c>
      <c r="O162">
        <v>173.06666666666669</v>
      </c>
      <c r="P162">
        <v>169.36666666666665</v>
      </c>
    </row>
    <row r="163" spans="3:16" x14ac:dyDescent="0.3">
      <c r="C163" s="3" t="s">
        <v>117</v>
      </c>
      <c r="D163">
        <v>163.76666666666665</v>
      </c>
      <c r="E163">
        <v>168.63333333333333</v>
      </c>
      <c r="F163">
        <v>121.83333333333333</v>
      </c>
      <c r="G163">
        <v>178.36666666666667</v>
      </c>
      <c r="H163">
        <v>187.53333333333333</v>
      </c>
      <c r="I163">
        <v>169.76666666666665</v>
      </c>
      <c r="J163">
        <v>196.5</v>
      </c>
      <c r="K163">
        <v>196.66666666666666</v>
      </c>
      <c r="L163">
        <v>169.1</v>
      </c>
      <c r="M163">
        <v>209.86666666666665</v>
      </c>
      <c r="N163">
        <v>187.36666666666667</v>
      </c>
      <c r="O163">
        <v>165.76666666666665</v>
      </c>
      <c r="P163">
        <v>169.86666666666667</v>
      </c>
    </row>
    <row r="164" spans="3:16" x14ac:dyDescent="0.3">
      <c r="C164" s="3" t="s">
        <v>118</v>
      </c>
      <c r="D164">
        <v>165.43333333333334</v>
      </c>
      <c r="E164">
        <v>169.1</v>
      </c>
      <c r="F164">
        <v>122.13333333333333</v>
      </c>
      <c r="G164">
        <v>180.1</v>
      </c>
      <c r="H164">
        <v>188.46666666666667</v>
      </c>
      <c r="I164">
        <v>170.93333333333331</v>
      </c>
      <c r="J164">
        <v>204.36666666666665</v>
      </c>
      <c r="K164">
        <v>199.29999999999998</v>
      </c>
      <c r="L164">
        <v>169.8</v>
      </c>
      <c r="M164">
        <v>211.53333333333333</v>
      </c>
      <c r="N164">
        <v>185.26666666666665</v>
      </c>
      <c r="O164">
        <v>163.9</v>
      </c>
      <c r="P164">
        <v>171.03333333333333</v>
      </c>
    </row>
    <row r="165" spans="3:16" x14ac:dyDescent="0.3">
      <c r="C165" s="3" t="s">
        <v>119</v>
      </c>
      <c r="D165">
        <v>167.56666666666669</v>
      </c>
      <c r="E165">
        <v>169.63333333333333</v>
      </c>
      <c r="F165">
        <v>122.33333333333333</v>
      </c>
      <c r="G165">
        <v>178.73333333333335</v>
      </c>
      <c r="H165">
        <v>189.6</v>
      </c>
      <c r="I165">
        <v>172.30000000000004</v>
      </c>
      <c r="J165">
        <v>186.73333333333335</v>
      </c>
      <c r="K165">
        <v>202.13333333333335</v>
      </c>
      <c r="L165">
        <v>170.56666666666666</v>
      </c>
      <c r="M165">
        <v>210</v>
      </c>
      <c r="N165">
        <v>187.63333333333333</v>
      </c>
      <c r="O165">
        <v>160.79999999999998</v>
      </c>
      <c r="P165">
        <v>181.6</v>
      </c>
    </row>
    <row r="166" spans="3:16" x14ac:dyDescent="0.3">
      <c r="C166" s="3" t="s">
        <v>120</v>
      </c>
      <c r="D166">
        <v>169.4</v>
      </c>
      <c r="E166">
        <v>170.20000000000002</v>
      </c>
      <c r="F166">
        <v>122.03333333333332</v>
      </c>
      <c r="G166">
        <v>176.29999999999998</v>
      </c>
      <c r="H166">
        <v>190.43333333333331</v>
      </c>
      <c r="I166">
        <v>173.63333333333333</v>
      </c>
      <c r="J166">
        <v>162.93333333333334</v>
      </c>
      <c r="K166">
        <v>204.4</v>
      </c>
      <c r="L166">
        <v>170.86666666666667</v>
      </c>
      <c r="M166">
        <v>209.6</v>
      </c>
      <c r="N166">
        <v>187.16666666666666</v>
      </c>
      <c r="O166">
        <v>158.06666666666666</v>
      </c>
      <c r="P166">
        <v>190.4</v>
      </c>
    </row>
    <row r="167" spans="3:16" x14ac:dyDescent="0.3">
      <c r="C167" s="3" t="s">
        <v>109</v>
      </c>
    </row>
    <row r="168" spans="3:16" x14ac:dyDescent="0.3">
      <c r="C168" s="3" t="s">
        <v>110</v>
      </c>
      <c r="D168">
        <v>173.70000000000002</v>
      </c>
      <c r="E168">
        <v>170.66666666666666</v>
      </c>
      <c r="F168">
        <v>121.36666666666667</v>
      </c>
      <c r="G168">
        <v>177.06666666666669</v>
      </c>
      <c r="H168">
        <v>191.33333333333334</v>
      </c>
      <c r="I168">
        <v>174.69999999999996</v>
      </c>
      <c r="J168">
        <v>157.36666666666667</v>
      </c>
      <c r="K168">
        <v>207.73333333333335</v>
      </c>
      <c r="L168">
        <v>170.93333333333331</v>
      </c>
      <c r="M168">
        <v>211.4</v>
      </c>
      <c r="N168">
        <v>185.93333333333331</v>
      </c>
      <c r="O168">
        <v>158.36666666666667</v>
      </c>
      <c r="P168">
        <v>194.79999999999998</v>
      </c>
    </row>
    <row r="169" spans="3:16" x14ac:dyDescent="0.3">
      <c r="C169" s="3" t="s">
        <v>111</v>
      </c>
      <c r="D169">
        <v>174.43333333333331</v>
      </c>
      <c r="E169">
        <v>171.60000000000002</v>
      </c>
      <c r="F169">
        <v>120.33333333333333</v>
      </c>
      <c r="G169">
        <v>177.5</v>
      </c>
      <c r="H169">
        <v>193.16666666666666</v>
      </c>
      <c r="I169">
        <v>177.4</v>
      </c>
      <c r="J169">
        <v>156.46666666666667</v>
      </c>
      <c r="K169">
        <v>208.86666666666667</v>
      </c>
      <c r="L169">
        <v>171.20000000000002</v>
      </c>
      <c r="M169">
        <v>208.36666666666665</v>
      </c>
      <c r="N169">
        <v>178.29999999999998</v>
      </c>
      <c r="O169">
        <v>169.6</v>
      </c>
      <c r="P169">
        <v>175.43333333333331</v>
      </c>
    </row>
    <row r="170" spans="3:16" x14ac:dyDescent="0.3">
      <c r="C170" s="3" t="s">
        <v>112</v>
      </c>
      <c r="D170">
        <v>174.4666666666667</v>
      </c>
      <c r="E170">
        <v>171.60000000000002</v>
      </c>
      <c r="F170">
        <v>120.33333333333333</v>
      </c>
      <c r="G170">
        <v>177.53333333333333</v>
      </c>
      <c r="H170">
        <v>193.16666666666666</v>
      </c>
      <c r="I170">
        <v>177.4</v>
      </c>
      <c r="J170">
        <v>156.53333333333333</v>
      </c>
      <c r="K170">
        <v>208.86666666666667</v>
      </c>
      <c r="L170">
        <v>171.26666666666665</v>
      </c>
      <c r="M170">
        <v>208.36666666666665</v>
      </c>
      <c r="N170">
        <v>178.23333333333335</v>
      </c>
      <c r="O170">
        <v>169.6</v>
      </c>
      <c r="P170">
        <v>175.43333333333331</v>
      </c>
    </row>
    <row r="171" spans="3:16" x14ac:dyDescent="0.3">
      <c r="C171" s="3" t="s">
        <v>113</v>
      </c>
      <c r="D171">
        <v>173.9666666666667</v>
      </c>
      <c r="E171">
        <v>172.19999999999996</v>
      </c>
      <c r="F171">
        <v>121.59999999999998</v>
      </c>
      <c r="G171">
        <v>178.5</v>
      </c>
      <c r="H171">
        <v>193.66666666666666</v>
      </c>
      <c r="I171">
        <v>178.4666666666667</v>
      </c>
      <c r="J171">
        <v>159.36666666666667</v>
      </c>
      <c r="K171">
        <v>212.06666666666669</v>
      </c>
      <c r="L171">
        <v>173.63333333333335</v>
      </c>
      <c r="M171">
        <v>209.96666666666667</v>
      </c>
      <c r="N171">
        <v>174.03333333333333</v>
      </c>
      <c r="O171">
        <v>176.4</v>
      </c>
      <c r="P171">
        <v>169.96666666666667</v>
      </c>
    </row>
    <row r="172" spans="3:16" x14ac:dyDescent="0.3">
      <c r="C172" s="3" t="s">
        <v>38</v>
      </c>
      <c r="D172">
        <v>173.86666666666665</v>
      </c>
      <c r="E172">
        <v>172.66666666666666</v>
      </c>
      <c r="F172">
        <v>122.93333333333334</v>
      </c>
      <c r="G172">
        <v>179.66666666666666</v>
      </c>
      <c r="H172">
        <v>194.33333333333334</v>
      </c>
      <c r="I172">
        <v>179.5</v>
      </c>
      <c r="J172">
        <v>164.9</v>
      </c>
      <c r="K172">
        <v>216.96666666666667</v>
      </c>
      <c r="L172">
        <v>175.79999999999998</v>
      </c>
      <c r="M172">
        <v>215.06666666666669</v>
      </c>
      <c r="N172">
        <v>169.23333333333332</v>
      </c>
      <c r="O172">
        <v>172.33333333333334</v>
      </c>
      <c r="P172">
        <v>173.63333333333333</v>
      </c>
    </row>
    <row r="173" spans="3:16" x14ac:dyDescent="0.3">
      <c r="C173" s="3" t="s">
        <v>94</v>
      </c>
      <c r="D173">
        <v>167.4722222222222</v>
      </c>
      <c r="E173">
        <v>169.91388888888889</v>
      </c>
      <c r="F173">
        <v>121.36388888888888</v>
      </c>
      <c r="G173">
        <v>177.65000000000003</v>
      </c>
      <c r="H173">
        <v>189.78888888888889</v>
      </c>
      <c r="I173">
        <v>172.89722222222224</v>
      </c>
      <c r="J173">
        <v>175.79722222222213</v>
      </c>
      <c r="K173">
        <v>202.15277777777777</v>
      </c>
      <c r="L173">
        <v>169.89722222222218</v>
      </c>
      <c r="M173">
        <v>211.24722222222215</v>
      </c>
      <c r="N173">
        <v>184.80277777777775</v>
      </c>
      <c r="O173">
        <v>167.68333333333331</v>
      </c>
      <c r="P173">
        <v>176.49722222222215</v>
      </c>
    </row>
    <row r="177" spans="1:16" x14ac:dyDescent="0.3">
      <c r="D177" s="18" t="s">
        <v>125</v>
      </c>
      <c r="E177" s="18" t="s">
        <v>126</v>
      </c>
      <c r="F177" s="18" t="s">
        <v>127</v>
      </c>
      <c r="G177" s="18" t="s">
        <v>79</v>
      </c>
      <c r="H177" s="18" t="s">
        <v>128</v>
      </c>
      <c r="I177" s="18" t="s">
        <v>129</v>
      </c>
      <c r="J177" s="18" t="s">
        <v>130</v>
      </c>
      <c r="K177" s="18" t="s">
        <v>131</v>
      </c>
      <c r="L177" s="18" t="s">
        <v>132</v>
      </c>
      <c r="M177" s="18" t="s">
        <v>133</v>
      </c>
      <c r="N177" s="18" t="s">
        <v>134</v>
      </c>
      <c r="O177" s="18" t="s">
        <v>135</v>
      </c>
      <c r="P177" s="18" t="s">
        <v>136</v>
      </c>
    </row>
    <row r="178" spans="1:16" x14ac:dyDescent="0.3">
      <c r="C178" s="1" t="s">
        <v>160</v>
      </c>
      <c r="D178" s="21">
        <v>167.4722222222222</v>
      </c>
      <c r="E178" s="21">
        <v>169.91388888888889</v>
      </c>
      <c r="F178" s="21">
        <v>121.36388888888888</v>
      </c>
      <c r="G178" s="21">
        <v>177.65000000000003</v>
      </c>
      <c r="H178" s="21">
        <v>189.78888888888889</v>
      </c>
      <c r="I178" s="21">
        <v>172.89722222222224</v>
      </c>
      <c r="J178" s="21">
        <v>175.79722222222213</v>
      </c>
      <c r="K178" s="21">
        <v>202.15277777777777</v>
      </c>
      <c r="L178" s="21">
        <v>169.89722222222218</v>
      </c>
      <c r="M178" s="21">
        <v>211.24722222222215</v>
      </c>
      <c r="N178" s="21">
        <v>184.80277777777775</v>
      </c>
      <c r="O178" s="21">
        <v>167.68333333333331</v>
      </c>
      <c r="P178" s="21">
        <v>176.49722222222215</v>
      </c>
    </row>
    <row r="179" spans="1:16" x14ac:dyDescent="0.3">
      <c r="C179" s="22">
        <v>45047</v>
      </c>
      <c r="D179">
        <v>173.86666666666665</v>
      </c>
      <c r="E179">
        <v>172.66666666666666</v>
      </c>
      <c r="F179">
        <v>122.93333333333334</v>
      </c>
      <c r="G179" s="1">
        <v>179.66666666666666</v>
      </c>
      <c r="H179">
        <v>194.33333333333334</v>
      </c>
      <c r="I179">
        <v>179.5</v>
      </c>
      <c r="J179">
        <v>164.9</v>
      </c>
      <c r="K179" s="1">
        <v>216.96666666666667</v>
      </c>
      <c r="L179">
        <v>175.79999999999998</v>
      </c>
      <c r="M179">
        <v>215.06666666666669</v>
      </c>
      <c r="N179">
        <v>169.23333333333332</v>
      </c>
      <c r="O179">
        <v>172.33333333333334</v>
      </c>
      <c r="P179">
        <v>173.63333333333333</v>
      </c>
    </row>
    <row r="180" spans="1:16" x14ac:dyDescent="0.3">
      <c r="C180" s="22">
        <v>44713</v>
      </c>
      <c r="D180">
        <v>155.43333333333334</v>
      </c>
      <c r="E180">
        <v>167.06666666666666</v>
      </c>
      <c r="F180">
        <v>120.13333333333333</v>
      </c>
      <c r="G180" s="1">
        <v>175.53333333333333</v>
      </c>
      <c r="H180">
        <v>184.03333333333333</v>
      </c>
      <c r="I180">
        <v>165.86666666666667</v>
      </c>
      <c r="J180">
        <v>187.03333333333333</v>
      </c>
      <c r="K180" s="1">
        <v>186.5</v>
      </c>
      <c r="L180">
        <v>164.16666666666666</v>
      </c>
      <c r="M180">
        <v>220</v>
      </c>
      <c r="N180">
        <v>199.20000000000002</v>
      </c>
      <c r="O180">
        <v>169.86666666666665</v>
      </c>
      <c r="P180">
        <v>171.06666666666669</v>
      </c>
    </row>
    <row r="181" spans="1:16" ht="28.8" x14ac:dyDescent="0.3">
      <c r="C181" s="11" t="s">
        <v>137</v>
      </c>
      <c r="D181">
        <f>D179-D180</f>
        <v>18.433333333333309</v>
      </c>
      <c r="E181">
        <f t="shared" ref="E181:P181" si="11">E179-E180</f>
        <v>5.5999999999999943</v>
      </c>
      <c r="F181">
        <f t="shared" si="11"/>
        <v>2.8000000000000114</v>
      </c>
      <c r="G181" s="1">
        <f t="shared" si="11"/>
        <v>4.1333333333333258</v>
      </c>
      <c r="H181">
        <f t="shared" si="11"/>
        <v>10.300000000000011</v>
      </c>
      <c r="I181">
        <f t="shared" si="11"/>
        <v>13.633333333333326</v>
      </c>
      <c r="J181">
        <f t="shared" si="11"/>
        <v>-22.133333333333326</v>
      </c>
      <c r="K181" s="1">
        <f t="shared" si="11"/>
        <v>30.466666666666669</v>
      </c>
      <c r="L181">
        <f t="shared" si="11"/>
        <v>11.633333333333326</v>
      </c>
      <c r="M181">
        <f t="shared" si="11"/>
        <v>-4.9333333333333087</v>
      </c>
      <c r="N181">
        <f>N179-N180</f>
        <v>-29.966666666666697</v>
      </c>
      <c r="O181">
        <f t="shared" si="11"/>
        <v>2.466666666666697</v>
      </c>
      <c r="P181">
        <f t="shared" si="11"/>
        <v>2.5666666666666345</v>
      </c>
    </row>
    <row r="182" spans="1:16" x14ac:dyDescent="0.3">
      <c r="C182" s="10"/>
    </row>
    <row r="183" spans="1:16" ht="18" x14ac:dyDescent="0.35">
      <c r="E183" s="4" t="s">
        <v>161</v>
      </c>
    </row>
    <row r="192" spans="1:16" ht="14.4" customHeight="1" x14ac:dyDescent="0.3">
      <c r="A192" s="42" t="s">
        <v>140</v>
      </c>
      <c r="B192" s="42"/>
      <c r="C192" s="42"/>
      <c r="D192" s="42"/>
      <c r="E192" s="42"/>
      <c r="F192" s="42"/>
      <c r="G192" s="42"/>
      <c r="H192" s="42"/>
      <c r="I192" s="42"/>
    </row>
    <row r="193" spans="1:9" x14ac:dyDescent="0.3">
      <c r="A193" s="42"/>
      <c r="B193" s="42"/>
      <c r="C193" s="42"/>
      <c r="D193" s="42"/>
      <c r="E193" s="42"/>
      <c r="F193" s="42"/>
      <c r="G193" s="42"/>
      <c r="H193" s="42"/>
      <c r="I193" s="42"/>
    </row>
    <row r="194" spans="1:9" x14ac:dyDescent="0.3">
      <c r="C194" s="2"/>
      <c r="D194" s="2"/>
      <c r="E194" s="2"/>
      <c r="F194" s="2"/>
      <c r="G194" s="2"/>
      <c r="H194" s="2"/>
      <c r="I194" s="2"/>
    </row>
    <row r="201" spans="1:9" x14ac:dyDescent="0.3">
      <c r="C201" s="17" t="s">
        <v>93</v>
      </c>
      <c r="D201" t="s">
        <v>79</v>
      </c>
      <c r="E201" t="s">
        <v>82</v>
      </c>
      <c r="F201" t="s">
        <v>83</v>
      </c>
      <c r="G201" t="s">
        <v>84</v>
      </c>
      <c r="H201" t="s">
        <v>95</v>
      </c>
    </row>
    <row r="202" spans="1:9" x14ac:dyDescent="0.3">
      <c r="C202" s="3" t="s">
        <v>141</v>
      </c>
      <c r="D202">
        <v>136.84722222222223</v>
      </c>
      <c r="E202">
        <v>129.28055555555559</v>
      </c>
      <c r="F202">
        <v>131.69444444444446</v>
      </c>
      <c r="G202">
        <v>128.93888888888893</v>
      </c>
      <c r="H202">
        <v>133.38611111111112</v>
      </c>
    </row>
    <row r="203" spans="1:9" x14ac:dyDescent="0.3">
      <c r="C203" s="3" t="s">
        <v>142</v>
      </c>
      <c r="D203">
        <v>138.99166666666667</v>
      </c>
      <c r="E203">
        <v>138.29722222222225</v>
      </c>
      <c r="F203">
        <v>138.35833333333329</v>
      </c>
      <c r="G203">
        <v>137.00555555555559</v>
      </c>
      <c r="H203">
        <v>138.66944444444445</v>
      </c>
    </row>
    <row r="204" spans="1:9" x14ac:dyDescent="0.3">
      <c r="C204" s="3" t="s">
        <v>143</v>
      </c>
      <c r="D204">
        <v>144.88484848484845</v>
      </c>
      <c r="E204">
        <v>138.77575757575761</v>
      </c>
      <c r="F204">
        <v>144.13636363636365</v>
      </c>
      <c r="G204">
        <v>146.92424242424249</v>
      </c>
      <c r="H204">
        <v>144.12727272727275</v>
      </c>
    </row>
    <row r="205" spans="1:9" x14ac:dyDescent="0.3">
      <c r="C205" s="3" t="s">
        <v>144</v>
      </c>
      <c r="D205">
        <v>151.12222222222223</v>
      </c>
      <c r="E205">
        <v>145.80000000000001</v>
      </c>
      <c r="F205">
        <v>146.14444444444445</v>
      </c>
      <c r="G205">
        <v>150.77777777777777</v>
      </c>
      <c r="H205">
        <v>149.24444444444444</v>
      </c>
    </row>
    <row r="206" spans="1:9" x14ac:dyDescent="0.3">
      <c r="C206" s="3" t="s">
        <v>94</v>
      </c>
      <c r="D206">
        <v>140.9780701754386</v>
      </c>
      <c r="E206">
        <v>136.18070175438595</v>
      </c>
      <c r="F206">
        <v>138.54122807017541</v>
      </c>
      <c r="G206">
        <v>138.41666666666663</v>
      </c>
      <c r="H206">
        <v>139.41578947368421</v>
      </c>
    </row>
    <row r="210" spans="3:8" x14ac:dyDescent="0.3">
      <c r="C210" s="17" t="s">
        <v>93</v>
      </c>
      <c r="D210" t="s">
        <v>79</v>
      </c>
      <c r="E210" t="s">
        <v>82</v>
      </c>
      <c r="F210" t="s">
        <v>83</v>
      </c>
      <c r="G210" t="s">
        <v>84</v>
      </c>
      <c r="H210" t="s">
        <v>95</v>
      </c>
    </row>
    <row r="211" spans="3:8" x14ac:dyDescent="0.3">
      <c r="C211" s="3" t="s">
        <v>144</v>
      </c>
      <c r="D211">
        <v>158.60833333333335</v>
      </c>
      <c r="E211">
        <v>142.4</v>
      </c>
      <c r="F211">
        <v>148.04761904761907</v>
      </c>
      <c r="G211">
        <v>154.48333333333332</v>
      </c>
      <c r="H211">
        <v>155.0809523809524</v>
      </c>
    </row>
    <row r="212" spans="3:8" x14ac:dyDescent="0.3">
      <c r="C212" s="3" t="s">
        <v>145</v>
      </c>
      <c r="D212">
        <v>163.2833333333333</v>
      </c>
      <c r="E212">
        <v>158.70833333333329</v>
      </c>
      <c r="F212">
        <v>154.99999999999997</v>
      </c>
      <c r="G212">
        <v>165.13333333333338</v>
      </c>
      <c r="H212">
        <v>161.41666666666666</v>
      </c>
    </row>
    <row r="213" spans="3:8" x14ac:dyDescent="0.3">
      <c r="C213" s="3" t="s">
        <v>108</v>
      </c>
      <c r="D213">
        <v>174.10277777777779</v>
      </c>
      <c r="E213">
        <v>174.96944444444441</v>
      </c>
      <c r="F213">
        <v>166.56666666666669</v>
      </c>
      <c r="G213">
        <v>175.35277777777776</v>
      </c>
      <c r="H213">
        <v>172.07500000000002</v>
      </c>
    </row>
    <row r="214" spans="3:8" x14ac:dyDescent="0.3">
      <c r="C214" s="3" t="s">
        <v>109</v>
      </c>
      <c r="D214">
        <v>178.05333333333331</v>
      </c>
      <c r="E214">
        <v>182.11333333333332</v>
      </c>
      <c r="F214">
        <v>174.03333333333333</v>
      </c>
      <c r="G214">
        <v>183.9</v>
      </c>
      <c r="H214">
        <v>177.57333333333332</v>
      </c>
    </row>
    <row r="215" spans="3:8" x14ac:dyDescent="0.3">
      <c r="C215" s="3" t="s">
        <v>94</v>
      </c>
      <c r="D215">
        <v>167.77747747747742</v>
      </c>
      <c r="E215">
        <v>163.61891891891889</v>
      </c>
      <c r="F215">
        <v>160.14722222222224</v>
      </c>
      <c r="G215">
        <v>168.68108108108106</v>
      </c>
      <c r="H215">
        <v>165.9814814814815</v>
      </c>
    </row>
    <row r="217" spans="3:8" x14ac:dyDescent="0.3">
      <c r="D217" s="18" t="s">
        <v>79</v>
      </c>
      <c r="E217" s="18" t="s">
        <v>82</v>
      </c>
      <c r="F217" s="18" t="s">
        <v>83</v>
      </c>
      <c r="G217" s="18" t="s">
        <v>84</v>
      </c>
      <c r="H217" s="18" t="s">
        <v>95</v>
      </c>
    </row>
    <row r="218" spans="3:8" ht="28.8" x14ac:dyDescent="0.3">
      <c r="C218" s="12" t="s">
        <v>163</v>
      </c>
      <c r="D218" s="21">
        <v>140.9780701754386</v>
      </c>
      <c r="E218" s="21">
        <v>136.18070175438595</v>
      </c>
      <c r="F218" s="21">
        <v>138.54122807017541</v>
      </c>
      <c r="G218" s="21">
        <v>138.41666666666663</v>
      </c>
      <c r="H218" s="21">
        <v>139.41578947368421</v>
      </c>
    </row>
    <row r="219" spans="3:8" ht="28.8" x14ac:dyDescent="0.3">
      <c r="C219" s="11" t="s">
        <v>164</v>
      </c>
      <c r="D219" s="21">
        <v>167.77747747747742</v>
      </c>
      <c r="E219" s="21">
        <v>163.61891891891889</v>
      </c>
      <c r="F219" s="21">
        <v>160.14722222222224</v>
      </c>
      <c r="G219" s="21">
        <v>168.68108108108106</v>
      </c>
      <c r="H219" s="21">
        <v>165.9814814814815</v>
      </c>
    </row>
    <row r="224" spans="3:8" x14ac:dyDescent="0.3">
      <c r="D224" s="18" t="s">
        <v>79</v>
      </c>
      <c r="E224" s="18" t="s">
        <v>82</v>
      </c>
      <c r="F224" s="18" t="s">
        <v>83</v>
      </c>
      <c r="G224" s="18" t="s">
        <v>84</v>
      </c>
      <c r="H224" s="18" t="s">
        <v>95</v>
      </c>
    </row>
    <row r="225" spans="3:8" ht="14.4" customHeight="1" x14ac:dyDescent="0.3">
      <c r="D225" s="24" t="s">
        <v>149</v>
      </c>
      <c r="E225" s="24" t="s">
        <v>150</v>
      </c>
      <c r="F225" s="24" t="s">
        <v>151</v>
      </c>
      <c r="G225" s="24" t="s">
        <v>152</v>
      </c>
      <c r="H225" s="24" t="s">
        <v>155</v>
      </c>
    </row>
    <row r="226" spans="3:8" x14ac:dyDescent="0.3">
      <c r="D226" s="1"/>
      <c r="E226" s="1"/>
      <c r="F226" s="1"/>
      <c r="G226" s="1"/>
      <c r="H226" s="1"/>
    </row>
    <row r="227" spans="3:8" x14ac:dyDescent="0.3">
      <c r="D227" s="1"/>
      <c r="E227" s="1"/>
      <c r="F227" s="1"/>
      <c r="G227" s="1"/>
      <c r="H227" s="1"/>
    </row>
    <row r="228" spans="3:8" x14ac:dyDescent="0.3">
      <c r="D228" s="1"/>
      <c r="E228" s="1"/>
      <c r="F228" s="1"/>
      <c r="G228" s="1"/>
      <c r="H228" s="1"/>
    </row>
    <row r="229" spans="3:8" x14ac:dyDescent="0.3">
      <c r="D229" s="1"/>
      <c r="E229" s="1"/>
      <c r="F229" s="1"/>
      <c r="G229" s="1"/>
      <c r="H229" s="1"/>
    </row>
    <row r="230" spans="3:8" x14ac:dyDescent="0.3">
      <c r="D230" s="14"/>
      <c r="E230" s="14"/>
      <c r="F230" s="14"/>
      <c r="G230" s="1"/>
      <c r="H230" s="1"/>
    </row>
    <row r="231" spans="3:8" x14ac:dyDescent="0.3">
      <c r="D231" s="14"/>
      <c r="E231" s="14"/>
      <c r="F231" s="14"/>
      <c r="G231" s="1"/>
      <c r="H231" s="1"/>
    </row>
    <row r="232" spans="3:8" x14ac:dyDescent="0.3">
      <c r="D232" s="14"/>
      <c r="E232" s="14"/>
      <c r="F232" s="14"/>
      <c r="G232" s="1"/>
      <c r="H232" s="1"/>
    </row>
    <row r="233" spans="3:8" x14ac:dyDescent="0.3">
      <c r="D233" s="2"/>
      <c r="G233" s="1"/>
      <c r="H233" s="1"/>
    </row>
    <row r="234" spans="3:8" x14ac:dyDescent="0.3">
      <c r="C234" s="10" t="s">
        <v>153</v>
      </c>
      <c r="D234">
        <f>140.97+167.77</f>
        <v>308.74</v>
      </c>
      <c r="E234">
        <f>136.18+163.61</f>
        <v>299.79000000000002</v>
      </c>
      <c r="F234">
        <f>GETPIVOTDATA("Average of Household goods and services",$C$201)+GETPIVOTDATA("Average of Household goods and services",$C$210)</f>
        <v>298.68845029239765</v>
      </c>
      <c r="G234">
        <f>GETPIVOTDATA("Average of Health",$C$201)+GETPIVOTDATA("Average of Health",$C$210)</f>
        <v>307.09774774774769</v>
      </c>
      <c r="H234">
        <f>GETPIVOTDATA("Average of General index",$C$201)+GETPIVOTDATA("Average of General index",$C$210)</f>
        <v>305.39727095516571</v>
      </c>
    </row>
    <row r="235" spans="3:8" ht="28.8" x14ac:dyDescent="0.3">
      <c r="C235" s="10" t="s">
        <v>146</v>
      </c>
      <c r="D235">
        <f>140.97/308.74*100</f>
        <v>45.659778454362893</v>
      </c>
      <c r="E235">
        <f>GETPIVOTDATA("Average of Fuel and light",$C$201)/E234*100</f>
        <v>45.425365006966857</v>
      </c>
      <c r="F235">
        <f>GETPIVOTDATA("Average of Household goods and services",$C$201)/F234*100</f>
        <v>46.38318888278139</v>
      </c>
      <c r="G235">
        <f>GETPIVOTDATA("Average of Health",$C$201)/G234*100</f>
        <v>45.072511173335947</v>
      </c>
      <c r="H235">
        <f>GETPIVOTDATA("Average of General index",$C$201)/H234*100</f>
        <v>45.650633693498641</v>
      </c>
    </row>
    <row r="236" spans="3:8" ht="28.8" x14ac:dyDescent="0.3">
      <c r="C236" s="10" t="s">
        <v>147</v>
      </c>
      <c r="D236">
        <f>167.77/308.74*100</f>
        <v>54.3402215456371</v>
      </c>
      <c r="E236">
        <f>GETPIVOTDATA("Average of Fuel and light",$C$210)/E234*100</f>
        <v>54.577844130530991</v>
      </c>
      <c r="F236">
        <f>GETPIVOTDATA("Average of Household goods and services",$C$210)/F234*100</f>
        <v>53.61681111721861</v>
      </c>
      <c r="G236">
        <f>GETPIVOTDATA("Average of Health",$C$210)/G234*100</f>
        <v>54.927488826664053</v>
      </c>
      <c r="H236">
        <f>GETPIVOTDATA("Average of General index",$C$210)/H234*100</f>
        <v>54.349366306501359</v>
      </c>
    </row>
    <row r="237" spans="3:8" ht="28.8" x14ac:dyDescent="0.3">
      <c r="C237" s="11" t="s">
        <v>148</v>
      </c>
      <c r="D237" s="1">
        <f>D236-D235</f>
        <v>8.6804430912742063</v>
      </c>
      <c r="E237" s="1">
        <f>E236-E235</f>
        <v>9.1524791235641345</v>
      </c>
      <c r="F237" s="1">
        <f>F236-F235</f>
        <v>7.2336222344372203</v>
      </c>
      <c r="G237" s="1">
        <f>G236-G235</f>
        <v>9.8549776533281062</v>
      </c>
      <c r="H237" s="1">
        <f>H236-H235</f>
        <v>8.6987326130027185</v>
      </c>
    </row>
    <row r="238" spans="3:8" ht="14.4" customHeight="1" x14ac:dyDescent="0.3">
      <c r="C238" s="11" t="s">
        <v>156</v>
      </c>
      <c r="D238" s="1">
        <f>(GETPIVOTDATA("Average of Food and beverages",$C$210)-GETPIVOTDATA("Average of Food and beverages",$C$201))/GETPIVOTDATA("Average of Food and beverages",$C$201)*100</f>
        <v>19.009628425675416</v>
      </c>
      <c r="E238" s="1">
        <f>(GETPIVOTDATA("Average of Fuel and light",$C$210)-GETPIVOTDATA("Average of Fuel and light",$C$201))/GETPIVOTDATA("Average of Fuel and light",$C$201)*100</f>
        <v>20.148388729865864</v>
      </c>
      <c r="F238" s="1">
        <f>(GETPIVOTDATA("Average of Household goods and services",$C$210)-GETPIVOTDATA("Average of Household goods and services",$C$201))/GETPIVOTDATA("Average of Household goods and services",$C$201)*100</f>
        <v>15.595353421511993</v>
      </c>
      <c r="G238" s="1">
        <f>(GETPIVOTDATA("Average of Health",$C$210)-GETPIVOTDATA("Average of Health",$C$201))/GETPIVOTDATA("Average of Health",$C$201)*100</f>
        <v>21.86471842100983</v>
      </c>
      <c r="H238" s="1">
        <f>(GETPIVOTDATA("Average of General index",$C$210)-GETPIVOTDATA("Average of General index",$C$201))/GETPIVOTDATA("Average of General index",$C$201)*100</f>
        <v>19.055009556727256</v>
      </c>
    </row>
    <row r="239" spans="3:8" x14ac:dyDescent="0.3">
      <c r="E239" s="1" t="s">
        <v>154</v>
      </c>
    </row>
    <row r="244" spans="3:8" x14ac:dyDescent="0.3">
      <c r="E244" s="1" t="s">
        <v>157</v>
      </c>
    </row>
    <row r="248" spans="3:8" x14ac:dyDescent="0.3">
      <c r="D248" s="18" t="s">
        <v>79</v>
      </c>
      <c r="E248" s="18" t="s">
        <v>82</v>
      </c>
      <c r="F248" s="18" t="s">
        <v>83</v>
      </c>
      <c r="G248" s="18" t="s">
        <v>84</v>
      </c>
      <c r="H248" s="18" t="s">
        <v>95</v>
      </c>
    </row>
    <row r="249" spans="3:8" x14ac:dyDescent="0.3">
      <c r="C249" s="1" t="s">
        <v>156</v>
      </c>
      <c r="D249" s="1">
        <f>(GETPIVOTDATA("Average of Food and beverages",$C$210)-GETPIVOTDATA("Average of Food and beverages",$C$201))/GETPIVOTDATA("Average of Food and beverages",$C$201)*100</f>
        <v>19.009628425675416</v>
      </c>
      <c r="E249" s="1">
        <f>(GETPIVOTDATA("Average of Fuel and light",$C$210)-GETPIVOTDATA("Average of Fuel and light",$C$201))/GETPIVOTDATA("Average of Fuel and light",$C$201)*100</f>
        <v>20.148388729865864</v>
      </c>
      <c r="F249" s="1">
        <f>(GETPIVOTDATA("Average of Household goods and services",$C$210)-GETPIVOTDATA("Average of Household goods and services",$C$201))/GETPIVOTDATA("Average of Household goods and services",$C$201)*100</f>
        <v>15.595353421511993</v>
      </c>
      <c r="G249" s="1">
        <f>(GETPIVOTDATA("Average of Health",$C$210)-GETPIVOTDATA("Average of Health",$C$201))/GETPIVOTDATA("Average of Health",$C$201)*100</f>
        <v>21.86471842100983</v>
      </c>
      <c r="H249" s="1">
        <f>(GETPIVOTDATA("Average of General index",$C$210)-GETPIVOTDATA("Average of General index",$C$201))/GETPIVOTDATA("Average of General index",$C$201)*100</f>
        <v>19.055009556727256</v>
      </c>
    </row>
  </sheetData>
  <mergeCells count="7">
    <mergeCell ref="C1:G3"/>
    <mergeCell ref="A22:A23"/>
    <mergeCell ref="B102:G103"/>
    <mergeCell ref="A147:H148"/>
    <mergeCell ref="A192:I193"/>
    <mergeCell ref="A63:G64"/>
    <mergeCell ref="A92:F92"/>
  </mergeCell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C4FC-3393-4237-9CEF-B240355180A6}">
  <sheetPr filterMode="1"/>
  <dimension ref="A1:AQ373"/>
  <sheetViews>
    <sheetView topLeftCell="W1" workbookViewId="0">
      <selection activeCell="AA292" sqref="AA292"/>
    </sheetView>
  </sheetViews>
  <sheetFormatPr defaultRowHeight="14.4" x14ac:dyDescent="0.3"/>
  <cols>
    <col min="1" max="1" width="11.21875" bestFit="1" customWidth="1"/>
    <col min="2" max="2" width="9.109375" bestFit="1" customWidth="1"/>
    <col min="3" max="3" width="11.21875" bestFit="1" customWidth="1"/>
    <col min="4" max="4" width="15.44140625" bestFit="1" customWidth="1"/>
    <col min="5" max="5" width="23.21875" bestFit="1" customWidth="1"/>
    <col min="6" max="6" width="17" bestFit="1" customWidth="1"/>
    <col min="7" max="7" width="8.44140625" bestFit="1" customWidth="1"/>
    <col min="8" max="8" width="20.77734375" bestFit="1" customWidth="1"/>
    <col min="9" max="9" width="15.6640625" bestFit="1" customWidth="1"/>
    <col min="10" max="10" width="10" bestFit="1" customWidth="1"/>
    <col min="11" max="11" width="14.6640625" bestFit="1" customWidth="1"/>
    <col min="12" max="12" width="22.44140625" bestFit="1" customWidth="1"/>
    <col min="13" max="13" width="26.5546875" bestFit="1" customWidth="1"/>
    <col min="14" max="14" width="10.6640625" bestFit="1" customWidth="1"/>
    <col min="15" max="15" width="26.44140625" bestFit="1" customWidth="1"/>
    <col min="16" max="16" width="35.77734375" bestFit="1" customWidth="1"/>
    <col min="17" max="17" width="22.5546875" bestFit="1" customWidth="1"/>
    <col min="18" max="18" width="31" bestFit="1" customWidth="1"/>
    <col min="19" max="19" width="30.109375" bestFit="1" customWidth="1"/>
    <col min="20" max="20" width="20.109375" bestFit="1" customWidth="1"/>
    <col min="21" max="21" width="12.44140625" bestFit="1" customWidth="1"/>
    <col min="22" max="22" width="13.33203125" bestFit="1" customWidth="1"/>
    <col min="23" max="23" width="24.44140625" bestFit="1" customWidth="1"/>
    <col min="24" max="24" width="33.109375" bestFit="1" customWidth="1"/>
    <col min="25" max="25" width="12.21875" bestFit="1" customWidth="1"/>
    <col min="26" max="26" width="16.6640625" bestFit="1" customWidth="1"/>
    <col min="27" max="27" width="25.5546875" bestFit="1" customWidth="1"/>
    <col min="28" max="28" width="31.109375" bestFit="1" customWidth="1"/>
    <col min="29" max="29" width="35.6640625" bestFit="1" customWidth="1"/>
    <col min="30" max="30" width="10.88671875" bestFit="1" customWidth="1"/>
    <col min="31" max="31" width="19.21875" bestFit="1" customWidth="1"/>
    <col min="32" max="32" width="31.33203125" bestFit="1" customWidth="1"/>
    <col min="33" max="33" width="28.77734375" bestFit="1" customWidth="1"/>
    <col min="34" max="34" width="28.88671875" bestFit="1" customWidth="1"/>
    <col min="35" max="35" width="36.88671875" bestFit="1" customWidth="1"/>
    <col min="36" max="36" width="13.88671875" bestFit="1" customWidth="1"/>
    <col min="37" max="37" width="21.21875" bestFit="1" customWidth="1"/>
    <col min="38" max="38" width="26.77734375" bestFit="1" customWidth="1"/>
    <col min="39" max="39" width="34.44140625" bestFit="1" customWidth="1"/>
    <col min="40" max="40" width="17.33203125" bestFit="1" customWidth="1"/>
    <col min="41" max="41" width="24.21875" bestFit="1" customWidth="1"/>
    <col min="42" max="42" width="16.88671875" bestFit="1" customWidth="1"/>
    <col min="43" max="43" width="22.109375" bestFit="1" customWidth="1"/>
  </cols>
  <sheetData>
    <row r="1" spans="1:43" s="29" customFormat="1" x14ac:dyDescent="0.3">
      <c r="A1" s="27" t="s">
        <v>0</v>
      </c>
      <c r="B1" s="27" t="s">
        <v>1</v>
      </c>
      <c r="C1" s="27" t="s">
        <v>2</v>
      </c>
      <c r="D1" s="27" t="s">
        <v>107</v>
      </c>
      <c r="E1" s="27" t="s">
        <v>3</v>
      </c>
      <c r="F1" s="27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175</v>
      </c>
      <c r="S1" s="27" t="s">
        <v>16</v>
      </c>
      <c r="T1" s="27" t="s">
        <v>176</v>
      </c>
      <c r="U1" s="27" t="s">
        <v>17</v>
      </c>
      <c r="V1" s="27" t="s">
        <v>18</v>
      </c>
      <c r="W1" s="27" t="s">
        <v>19</v>
      </c>
      <c r="X1" s="27" t="s">
        <v>177</v>
      </c>
      <c r="Y1" s="27" t="s">
        <v>20</v>
      </c>
      <c r="Z1" s="27" t="s">
        <v>21</v>
      </c>
      <c r="AA1" s="27" t="s">
        <v>178</v>
      </c>
      <c r="AB1" s="27" t="s">
        <v>22</v>
      </c>
      <c r="AC1" s="27" t="s">
        <v>179</v>
      </c>
      <c r="AD1" s="27" t="s">
        <v>23</v>
      </c>
      <c r="AE1" s="27" t="s">
        <v>180</v>
      </c>
      <c r="AF1" s="27" t="s">
        <v>24</v>
      </c>
      <c r="AG1" s="27" t="s">
        <v>181</v>
      </c>
      <c r="AH1" s="27" t="s">
        <v>25</v>
      </c>
      <c r="AI1" s="27" t="s">
        <v>182</v>
      </c>
      <c r="AJ1" s="27" t="s">
        <v>26</v>
      </c>
      <c r="AK1" s="27" t="s">
        <v>183</v>
      </c>
      <c r="AL1" s="27" t="s">
        <v>27</v>
      </c>
      <c r="AM1" s="27" t="s">
        <v>184</v>
      </c>
      <c r="AN1" s="27" t="s">
        <v>28</v>
      </c>
      <c r="AO1" s="27" t="s">
        <v>185</v>
      </c>
      <c r="AP1" s="27" t="s">
        <v>29</v>
      </c>
      <c r="AQ1" s="28" t="s">
        <v>186</v>
      </c>
    </row>
    <row r="2" spans="1:43" hidden="1" x14ac:dyDescent="0.3">
      <c r="A2" s="25" t="s">
        <v>30</v>
      </c>
      <c r="B2" s="25">
        <v>2013</v>
      </c>
      <c r="C2" s="25" t="s">
        <v>31</v>
      </c>
      <c r="D2" s="26">
        <f>DATE(B2,MATCH(TRIM(C2),{"January","February","March","April","May","June","July","August","September","October","November","December"},0),1)</f>
        <v>41275</v>
      </c>
      <c r="E2" s="25">
        <v>107.5</v>
      </c>
      <c r="F2" s="25">
        <v>106.3</v>
      </c>
      <c r="G2" s="25">
        <v>108.1</v>
      </c>
      <c r="H2" s="25">
        <v>104.9</v>
      </c>
      <c r="I2" s="25">
        <v>106.1</v>
      </c>
      <c r="J2" s="25">
        <v>103.9</v>
      </c>
      <c r="K2" s="25">
        <v>101.9</v>
      </c>
      <c r="L2" s="25">
        <v>106.1</v>
      </c>
      <c r="M2" s="25">
        <v>106.8</v>
      </c>
      <c r="N2" s="25">
        <v>103.1</v>
      </c>
      <c r="O2" s="25">
        <v>104.8</v>
      </c>
      <c r="P2" s="25">
        <v>106.7</v>
      </c>
      <c r="Q2" s="25">
        <v>105.5</v>
      </c>
      <c r="R2" s="25"/>
      <c r="S2" s="25">
        <v>105.1</v>
      </c>
      <c r="T2" s="25"/>
      <c r="U2" s="25">
        <v>106.5</v>
      </c>
      <c r="V2" s="25">
        <v>105.8</v>
      </c>
      <c r="W2" s="25">
        <v>106.4</v>
      </c>
      <c r="X2" s="25"/>
      <c r="Y2" s="25" t="s">
        <v>32</v>
      </c>
      <c r="Z2" s="25">
        <v>105.5</v>
      </c>
      <c r="AA2" s="25"/>
      <c r="AB2" s="25">
        <v>104.8</v>
      </c>
      <c r="AC2" s="25"/>
      <c r="AD2" s="25">
        <v>104</v>
      </c>
      <c r="AE2" s="25"/>
      <c r="AF2" s="25">
        <v>103.3</v>
      </c>
      <c r="AG2" s="25"/>
      <c r="AH2" s="25">
        <v>103.4</v>
      </c>
      <c r="AI2" s="25"/>
      <c r="AJ2" s="25">
        <v>103.8</v>
      </c>
      <c r="AK2" s="25"/>
      <c r="AL2" s="25">
        <v>104.7</v>
      </c>
      <c r="AM2" s="25"/>
      <c r="AN2" s="25">
        <v>104</v>
      </c>
      <c r="AO2" s="25"/>
      <c r="AP2" s="25">
        <v>105.1</v>
      </c>
    </row>
    <row r="3" spans="1:43" hidden="1" x14ac:dyDescent="0.3">
      <c r="A3" s="25" t="s">
        <v>33</v>
      </c>
      <c r="B3" s="25">
        <v>2013</v>
      </c>
      <c r="C3" s="25" t="s">
        <v>31</v>
      </c>
      <c r="D3" s="26">
        <f>DATE(B3,MATCH(TRIM(C3),{"January","February","March","April","May","June","July","August","September","October","November","December"},0),1)</f>
        <v>41275</v>
      </c>
      <c r="E3" s="25">
        <v>110.5</v>
      </c>
      <c r="F3" s="25">
        <v>109.1</v>
      </c>
      <c r="G3" s="25">
        <v>113</v>
      </c>
      <c r="H3" s="25">
        <v>103.6</v>
      </c>
      <c r="I3" s="25">
        <v>103.4</v>
      </c>
      <c r="J3" s="25">
        <v>102.3</v>
      </c>
      <c r="K3" s="25">
        <v>102.9</v>
      </c>
      <c r="L3" s="25">
        <v>105.8</v>
      </c>
      <c r="M3" s="25">
        <v>105.1</v>
      </c>
      <c r="N3" s="25">
        <v>101.8</v>
      </c>
      <c r="O3" s="25">
        <v>105.1</v>
      </c>
      <c r="P3" s="25">
        <v>107.9</v>
      </c>
      <c r="Q3" s="25">
        <v>105.9</v>
      </c>
      <c r="R3" s="25"/>
      <c r="S3" s="25">
        <v>105.2</v>
      </c>
      <c r="T3" s="25"/>
      <c r="U3" s="25">
        <v>105.9</v>
      </c>
      <c r="V3" s="25">
        <v>105</v>
      </c>
      <c r="W3" s="25">
        <v>105.8</v>
      </c>
      <c r="X3" s="25"/>
      <c r="Y3" s="25">
        <v>100.3</v>
      </c>
      <c r="Z3" s="25">
        <v>105.4</v>
      </c>
      <c r="AA3" s="25"/>
      <c r="AB3" s="25">
        <v>104.8</v>
      </c>
      <c r="AC3" s="25"/>
      <c r="AD3" s="25">
        <v>104.1</v>
      </c>
      <c r="AE3" s="25"/>
      <c r="AF3" s="25">
        <v>103.2</v>
      </c>
      <c r="AG3" s="25"/>
      <c r="AH3" s="25">
        <v>102.9</v>
      </c>
      <c r="AI3" s="25"/>
      <c r="AJ3" s="25">
        <v>103.5</v>
      </c>
      <c r="AK3" s="25"/>
      <c r="AL3" s="25">
        <v>104.3</v>
      </c>
      <c r="AM3" s="25"/>
      <c r="AN3" s="25">
        <v>103.7</v>
      </c>
      <c r="AO3" s="25"/>
      <c r="AP3" s="25">
        <v>104</v>
      </c>
    </row>
    <row r="4" spans="1:43" hidden="1" x14ac:dyDescent="0.3">
      <c r="A4" s="25" t="s">
        <v>34</v>
      </c>
      <c r="B4" s="25">
        <v>2013</v>
      </c>
      <c r="C4" s="25" t="s">
        <v>31</v>
      </c>
      <c r="D4" s="26">
        <f>DATE(B4,MATCH(TRIM(C4),{"January","February","March","April","May","June","July","August","September","October","November","December"},0),1)</f>
        <v>41275</v>
      </c>
      <c r="E4" s="25">
        <v>108.4</v>
      </c>
      <c r="F4" s="25">
        <v>107.3</v>
      </c>
      <c r="G4" s="25">
        <v>110</v>
      </c>
      <c r="H4" s="25">
        <v>104.4</v>
      </c>
      <c r="I4" s="25">
        <v>105.1</v>
      </c>
      <c r="J4" s="25">
        <v>103.2</v>
      </c>
      <c r="K4" s="25">
        <v>102.2</v>
      </c>
      <c r="L4" s="25">
        <v>106</v>
      </c>
      <c r="M4" s="25">
        <v>106.2</v>
      </c>
      <c r="N4" s="25">
        <v>102.7</v>
      </c>
      <c r="O4" s="25">
        <v>104.9</v>
      </c>
      <c r="P4" s="25">
        <v>107.3</v>
      </c>
      <c r="Q4" s="25">
        <v>105.6</v>
      </c>
      <c r="R4" s="25"/>
      <c r="S4" s="25">
        <v>105.1</v>
      </c>
      <c r="T4" s="25"/>
      <c r="U4" s="25">
        <v>106.3</v>
      </c>
      <c r="V4" s="25">
        <v>105.5</v>
      </c>
      <c r="W4" s="25">
        <v>106.2</v>
      </c>
      <c r="X4" s="25"/>
      <c r="Y4" s="25">
        <v>100.3</v>
      </c>
      <c r="Z4" s="25">
        <v>105.5</v>
      </c>
      <c r="AA4" s="25"/>
      <c r="AB4" s="25">
        <v>104.8</v>
      </c>
      <c r="AC4" s="25"/>
      <c r="AD4" s="25">
        <v>104</v>
      </c>
      <c r="AE4" s="25"/>
      <c r="AF4" s="25">
        <v>103.2</v>
      </c>
      <c r="AG4" s="25"/>
      <c r="AH4" s="25">
        <v>103.1</v>
      </c>
      <c r="AI4" s="25"/>
      <c r="AJ4" s="25">
        <v>103.6</v>
      </c>
      <c r="AK4" s="25"/>
      <c r="AL4" s="25">
        <v>104.5</v>
      </c>
      <c r="AM4" s="25"/>
      <c r="AN4" s="25">
        <v>103.9</v>
      </c>
      <c r="AO4" s="25"/>
      <c r="AP4" s="25">
        <v>104.6</v>
      </c>
    </row>
    <row r="5" spans="1:43" hidden="1" x14ac:dyDescent="0.3">
      <c r="A5" s="25" t="s">
        <v>30</v>
      </c>
      <c r="B5" s="25">
        <v>2013</v>
      </c>
      <c r="C5" s="25" t="s">
        <v>35</v>
      </c>
      <c r="D5" s="26">
        <f>DATE(B5,MATCH(TRIM(C5),{"January","February","March","April","May","June","July","August","September","October","November","December"},0),1)</f>
        <v>41306</v>
      </c>
      <c r="E5" s="25">
        <v>109.2</v>
      </c>
      <c r="F5" s="25">
        <v>108.7</v>
      </c>
      <c r="G5" s="25">
        <v>110.2</v>
      </c>
      <c r="H5" s="25">
        <v>105.4</v>
      </c>
      <c r="I5" s="25">
        <v>106.7</v>
      </c>
      <c r="J5" s="25">
        <v>104</v>
      </c>
      <c r="K5" s="25">
        <v>102.4</v>
      </c>
      <c r="L5" s="25">
        <v>105.9</v>
      </c>
      <c r="M5" s="25">
        <v>105.7</v>
      </c>
      <c r="N5" s="25">
        <v>103.1</v>
      </c>
      <c r="O5" s="25">
        <v>105.1</v>
      </c>
      <c r="P5" s="25">
        <v>107.7</v>
      </c>
      <c r="Q5" s="25">
        <v>106.3</v>
      </c>
      <c r="R5" s="25"/>
      <c r="S5" s="25">
        <v>105.6</v>
      </c>
      <c r="T5" s="25"/>
      <c r="U5" s="25">
        <v>107.1</v>
      </c>
      <c r="V5" s="25">
        <v>106.3</v>
      </c>
      <c r="W5" s="25">
        <v>107</v>
      </c>
      <c r="X5" s="25"/>
      <c r="Y5" s="25" t="s">
        <v>32</v>
      </c>
      <c r="Z5" s="25">
        <v>106.2</v>
      </c>
      <c r="AA5" s="25"/>
      <c r="AB5" s="25">
        <v>105.2</v>
      </c>
      <c r="AC5" s="25"/>
      <c r="AD5" s="25">
        <v>104.4</v>
      </c>
      <c r="AE5" s="25"/>
      <c r="AF5" s="25">
        <v>103.9</v>
      </c>
      <c r="AG5" s="25"/>
      <c r="AH5" s="25">
        <v>104</v>
      </c>
      <c r="AI5" s="25"/>
      <c r="AJ5" s="25">
        <v>104.1</v>
      </c>
      <c r="AK5" s="25"/>
      <c r="AL5" s="25">
        <v>104.6</v>
      </c>
      <c r="AM5" s="25"/>
      <c r="AN5" s="25">
        <v>104.4</v>
      </c>
      <c r="AO5" s="25"/>
      <c r="AP5" s="25">
        <v>105.8</v>
      </c>
    </row>
    <row r="6" spans="1:43" hidden="1" x14ac:dyDescent="0.3">
      <c r="A6" s="25" t="s">
        <v>33</v>
      </c>
      <c r="B6" s="25">
        <v>2013</v>
      </c>
      <c r="C6" s="25" t="s">
        <v>35</v>
      </c>
      <c r="D6" s="26">
        <f>DATE(B6,MATCH(TRIM(C6),{"January","February","March","April","May","June","July","August","September","October","November","December"},0),1)</f>
        <v>41306</v>
      </c>
      <c r="E6" s="25">
        <v>112.9</v>
      </c>
      <c r="F6" s="25">
        <v>112.9</v>
      </c>
      <c r="G6" s="25">
        <v>116.9</v>
      </c>
      <c r="H6" s="25">
        <v>104</v>
      </c>
      <c r="I6" s="25">
        <v>103.5</v>
      </c>
      <c r="J6" s="25">
        <v>103.1</v>
      </c>
      <c r="K6" s="25">
        <v>104.9</v>
      </c>
      <c r="L6" s="25">
        <v>104.1</v>
      </c>
      <c r="M6" s="25">
        <v>103.8</v>
      </c>
      <c r="N6" s="25">
        <v>102.3</v>
      </c>
      <c r="O6" s="25">
        <v>106</v>
      </c>
      <c r="P6" s="25">
        <v>109</v>
      </c>
      <c r="Q6" s="25">
        <v>107.2</v>
      </c>
      <c r="R6" s="25"/>
      <c r="S6" s="25">
        <v>106</v>
      </c>
      <c r="T6" s="25"/>
      <c r="U6" s="25">
        <v>106.6</v>
      </c>
      <c r="V6" s="25">
        <v>105.5</v>
      </c>
      <c r="W6" s="25">
        <v>106.4</v>
      </c>
      <c r="X6" s="25"/>
      <c r="Y6" s="25">
        <v>100.4</v>
      </c>
      <c r="Z6" s="25">
        <v>105.7</v>
      </c>
      <c r="AA6" s="25"/>
      <c r="AB6" s="25">
        <v>105.2</v>
      </c>
      <c r="AC6" s="25"/>
      <c r="AD6" s="25">
        <v>104.7</v>
      </c>
      <c r="AE6" s="25"/>
      <c r="AF6" s="25">
        <v>104.4</v>
      </c>
      <c r="AG6" s="25"/>
      <c r="AH6" s="25">
        <v>103.3</v>
      </c>
      <c r="AI6" s="25"/>
      <c r="AJ6" s="25">
        <v>103.7</v>
      </c>
      <c r="AK6" s="25"/>
      <c r="AL6" s="25">
        <v>104.3</v>
      </c>
      <c r="AM6" s="25"/>
      <c r="AN6" s="25">
        <v>104.3</v>
      </c>
      <c r="AO6" s="25"/>
      <c r="AP6" s="25">
        <v>104.7</v>
      </c>
    </row>
    <row r="7" spans="1:43" hidden="1" x14ac:dyDescent="0.3">
      <c r="A7" s="25" t="s">
        <v>34</v>
      </c>
      <c r="B7" s="25">
        <v>2013</v>
      </c>
      <c r="C7" s="25" t="s">
        <v>35</v>
      </c>
      <c r="D7" s="26">
        <f>DATE(B7,MATCH(TRIM(C7),{"January","February","March","April","May","June","July","August","September","October","November","December"},0),1)</f>
        <v>41306</v>
      </c>
      <c r="E7" s="25">
        <v>110.4</v>
      </c>
      <c r="F7" s="25">
        <v>110.2</v>
      </c>
      <c r="G7" s="25">
        <v>112.8</v>
      </c>
      <c r="H7" s="25">
        <v>104.9</v>
      </c>
      <c r="I7" s="25">
        <v>105.5</v>
      </c>
      <c r="J7" s="25">
        <v>103.6</v>
      </c>
      <c r="K7" s="25">
        <v>103.2</v>
      </c>
      <c r="L7" s="25">
        <v>105.3</v>
      </c>
      <c r="M7" s="25">
        <v>105.1</v>
      </c>
      <c r="N7" s="25">
        <v>102.8</v>
      </c>
      <c r="O7" s="25">
        <v>105.5</v>
      </c>
      <c r="P7" s="25">
        <v>108.3</v>
      </c>
      <c r="Q7" s="25">
        <v>106.6</v>
      </c>
      <c r="R7" s="25"/>
      <c r="S7" s="25">
        <v>105.7</v>
      </c>
      <c r="T7" s="25"/>
      <c r="U7" s="25">
        <v>106.9</v>
      </c>
      <c r="V7" s="25">
        <v>106</v>
      </c>
      <c r="W7" s="25">
        <v>106.8</v>
      </c>
      <c r="X7" s="25"/>
      <c r="Y7" s="25">
        <v>100.4</v>
      </c>
      <c r="Z7" s="25">
        <v>106</v>
      </c>
      <c r="AA7" s="25"/>
      <c r="AB7" s="25">
        <v>105.2</v>
      </c>
      <c r="AC7" s="25"/>
      <c r="AD7" s="25">
        <v>104.5</v>
      </c>
      <c r="AE7" s="25"/>
      <c r="AF7" s="25">
        <v>104.2</v>
      </c>
      <c r="AG7" s="25"/>
      <c r="AH7" s="25">
        <v>103.6</v>
      </c>
      <c r="AI7" s="25"/>
      <c r="AJ7" s="25">
        <v>103.9</v>
      </c>
      <c r="AK7" s="25"/>
      <c r="AL7" s="25">
        <v>104.5</v>
      </c>
      <c r="AM7" s="25"/>
      <c r="AN7" s="25">
        <v>104.4</v>
      </c>
      <c r="AO7" s="25"/>
      <c r="AP7" s="25">
        <v>105.3</v>
      </c>
    </row>
    <row r="8" spans="1:43" hidden="1" x14ac:dyDescent="0.3">
      <c r="A8" s="25" t="s">
        <v>30</v>
      </c>
      <c r="B8" s="25">
        <v>2013</v>
      </c>
      <c r="C8" s="25" t="s">
        <v>36</v>
      </c>
      <c r="D8" s="26">
        <f>DATE(B8,MATCH(TRIM(C8),{"January","February","March","April","May","June","July","August","September","October","November","December"},0),1)</f>
        <v>41334</v>
      </c>
      <c r="E8" s="25">
        <v>110.2</v>
      </c>
      <c r="F8" s="25">
        <v>108.8</v>
      </c>
      <c r="G8" s="25">
        <v>109.9</v>
      </c>
      <c r="H8" s="25">
        <v>105.6</v>
      </c>
      <c r="I8" s="25">
        <v>106.2</v>
      </c>
      <c r="J8" s="25">
        <v>105.7</v>
      </c>
      <c r="K8" s="25">
        <v>101.4</v>
      </c>
      <c r="L8" s="25">
        <v>105.7</v>
      </c>
      <c r="M8" s="25">
        <v>105</v>
      </c>
      <c r="N8" s="25">
        <v>103.3</v>
      </c>
      <c r="O8" s="25">
        <v>105.6</v>
      </c>
      <c r="P8" s="25">
        <v>108.2</v>
      </c>
      <c r="Q8" s="25">
        <v>106.6</v>
      </c>
      <c r="R8" s="25"/>
      <c r="S8" s="25">
        <v>106.5</v>
      </c>
      <c r="T8" s="25"/>
      <c r="U8" s="25">
        <v>107.6</v>
      </c>
      <c r="V8" s="25">
        <v>106.8</v>
      </c>
      <c r="W8" s="25">
        <v>107.5</v>
      </c>
      <c r="X8" s="25"/>
      <c r="Y8" s="25" t="s">
        <v>32</v>
      </c>
      <c r="Z8" s="25">
        <v>106.1</v>
      </c>
      <c r="AA8" s="25"/>
      <c r="AB8" s="25">
        <v>105.6</v>
      </c>
      <c r="AC8" s="25"/>
      <c r="AD8" s="25">
        <v>104.7</v>
      </c>
      <c r="AE8" s="25"/>
      <c r="AF8" s="25">
        <v>104.6</v>
      </c>
      <c r="AG8" s="25"/>
      <c r="AH8" s="25">
        <v>104</v>
      </c>
      <c r="AI8" s="25"/>
      <c r="AJ8" s="25">
        <v>104.3</v>
      </c>
      <c r="AK8" s="25"/>
      <c r="AL8" s="25">
        <v>104.3</v>
      </c>
      <c r="AM8" s="25"/>
      <c r="AN8" s="25">
        <v>104.6</v>
      </c>
      <c r="AO8" s="25"/>
      <c r="AP8" s="25">
        <v>106</v>
      </c>
    </row>
    <row r="9" spans="1:43" hidden="1" x14ac:dyDescent="0.3">
      <c r="A9" s="25" t="s">
        <v>33</v>
      </c>
      <c r="B9" s="25">
        <v>2013</v>
      </c>
      <c r="C9" s="25" t="s">
        <v>36</v>
      </c>
      <c r="D9" s="26">
        <f>DATE(B9,MATCH(TRIM(C9),{"January","February","March","April","May","June","July","August","September","October","November","December"},0),1)</f>
        <v>41334</v>
      </c>
      <c r="E9" s="25">
        <v>113.9</v>
      </c>
      <c r="F9" s="25">
        <v>111.4</v>
      </c>
      <c r="G9" s="25">
        <v>113.2</v>
      </c>
      <c r="H9" s="25">
        <v>104.3</v>
      </c>
      <c r="I9" s="25">
        <v>102.7</v>
      </c>
      <c r="J9" s="25">
        <v>104.9</v>
      </c>
      <c r="K9" s="25">
        <v>103.8</v>
      </c>
      <c r="L9" s="25">
        <v>103.5</v>
      </c>
      <c r="M9" s="25">
        <v>102.6</v>
      </c>
      <c r="N9" s="25">
        <v>102.4</v>
      </c>
      <c r="O9" s="25">
        <v>107</v>
      </c>
      <c r="P9" s="25">
        <v>109.8</v>
      </c>
      <c r="Q9" s="25">
        <v>107.3</v>
      </c>
      <c r="R9" s="25"/>
      <c r="S9" s="25">
        <v>106.8</v>
      </c>
      <c r="T9" s="25"/>
      <c r="U9" s="25">
        <v>107.2</v>
      </c>
      <c r="V9" s="25">
        <v>106</v>
      </c>
      <c r="W9" s="25">
        <v>107</v>
      </c>
      <c r="X9" s="25"/>
      <c r="Y9" s="25">
        <v>100.4</v>
      </c>
      <c r="Z9" s="25">
        <v>106</v>
      </c>
      <c r="AA9" s="25"/>
      <c r="AB9" s="25">
        <v>105.7</v>
      </c>
      <c r="AC9" s="25"/>
      <c r="AD9" s="25">
        <v>105.2</v>
      </c>
      <c r="AE9" s="25"/>
      <c r="AF9" s="25">
        <v>105.5</v>
      </c>
      <c r="AG9" s="25"/>
      <c r="AH9" s="25">
        <v>103.5</v>
      </c>
      <c r="AI9" s="25"/>
      <c r="AJ9" s="25">
        <v>103.8</v>
      </c>
      <c r="AK9" s="25"/>
      <c r="AL9" s="25">
        <v>104.2</v>
      </c>
      <c r="AM9" s="25"/>
      <c r="AN9" s="25">
        <v>104.9</v>
      </c>
      <c r="AO9" s="25"/>
      <c r="AP9" s="25">
        <v>105</v>
      </c>
    </row>
    <row r="10" spans="1:43" hidden="1" x14ac:dyDescent="0.3">
      <c r="A10" s="25" t="s">
        <v>34</v>
      </c>
      <c r="B10" s="25">
        <v>2013</v>
      </c>
      <c r="C10" s="25" t="s">
        <v>36</v>
      </c>
      <c r="D10" s="26">
        <f>DATE(B10,MATCH(TRIM(C10),{"January","February","March","April","May","June","July","August","September","October","November","December"},0),1)</f>
        <v>41334</v>
      </c>
      <c r="E10" s="25">
        <v>111.4</v>
      </c>
      <c r="F10" s="25">
        <v>109.7</v>
      </c>
      <c r="G10" s="25">
        <v>111.2</v>
      </c>
      <c r="H10" s="25">
        <v>105.1</v>
      </c>
      <c r="I10" s="25">
        <v>104.9</v>
      </c>
      <c r="J10" s="25">
        <v>105.3</v>
      </c>
      <c r="K10" s="25">
        <v>102.2</v>
      </c>
      <c r="L10" s="25">
        <v>105</v>
      </c>
      <c r="M10" s="25">
        <v>104.2</v>
      </c>
      <c r="N10" s="25">
        <v>103</v>
      </c>
      <c r="O10" s="25">
        <v>106.2</v>
      </c>
      <c r="P10" s="25">
        <v>108.9</v>
      </c>
      <c r="Q10" s="25">
        <v>106.9</v>
      </c>
      <c r="R10" s="25"/>
      <c r="S10" s="25">
        <v>106.6</v>
      </c>
      <c r="T10" s="25"/>
      <c r="U10" s="25">
        <v>107.4</v>
      </c>
      <c r="V10" s="25">
        <v>106.5</v>
      </c>
      <c r="W10" s="25">
        <v>107.3</v>
      </c>
      <c r="X10" s="25"/>
      <c r="Y10" s="25">
        <v>100.4</v>
      </c>
      <c r="Z10" s="25">
        <v>106.1</v>
      </c>
      <c r="AA10" s="25"/>
      <c r="AB10" s="25">
        <v>105.6</v>
      </c>
      <c r="AC10" s="25"/>
      <c r="AD10" s="25">
        <v>104.9</v>
      </c>
      <c r="AE10" s="25"/>
      <c r="AF10" s="25">
        <v>105.1</v>
      </c>
      <c r="AG10" s="25"/>
      <c r="AH10" s="25">
        <v>103.7</v>
      </c>
      <c r="AI10" s="25"/>
      <c r="AJ10" s="25">
        <v>104</v>
      </c>
      <c r="AK10" s="25"/>
      <c r="AL10" s="25">
        <v>104.3</v>
      </c>
      <c r="AM10" s="25"/>
      <c r="AN10" s="25">
        <v>104.7</v>
      </c>
      <c r="AO10" s="25"/>
      <c r="AP10" s="25">
        <v>105.5</v>
      </c>
    </row>
    <row r="11" spans="1:43" hidden="1" x14ac:dyDescent="0.3">
      <c r="A11" s="25" t="s">
        <v>30</v>
      </c>
      <c r="B11" s="25">
        <v>2013</v>
      </c>
      <c r="C11" s="25" t="s">
        <v>37</v>
      </c>
      <c r="D11" s="26">
        <f>DATE(B11,MATCH(TRIM(C11),{"January","February","March","April","May","June","July","August","September","October","November","December"},0),1)</f>
        <v>41365</v>
      </c>
      <c r="E11" s="25">
        <v>110.2</v>
      </c>
      <c r="F11" s="25">
        <v>109.5</v>
      </c>
      <c r="G11" s="25">
        <v>106.9</v>
      </c>
      <c r="H11" s="25">
        <v>106.3</v>
      </c>
      <c r="I11" s="25">
        <v>105.7</v>
      </c>
      <c r="J11" s="25">
        <v>108.3</v>
      </c>
      <c r="K11" s="25">
        <v>103.4</v>
      </c>
      <c r="L11" s="25">
        <v>105.7</v>
      </c>
      <c r="M11" s="25">
        <v>104.2</v>
      </c>
      <c r="N11" s="25">
        <v>103.2</v>
      </c>
      <c r="O11" s="25">
        <v>106.5</v>
      </c>
      <c r="P11" s="25">
        <v>108.8</v>
      </c>
      <c r="Q11" s="25">
        <v>107.1</v>
      </c>
      <c r="R11" s="25"/>
      <c r="S11" s="25">
        <v>107.1</v>
      </c>
      <c r="T11" s="25"/>
      <c r="U11" s="25">
        <v>108.1</v>
      </c>
      <c r="V11" s="25">
        <v>107.4</v>
      </c>
      <c r="W11" s="25">
        <v>108</v>
      </c>
      <c r="X11" s="25"/>
      <c r="Y11" s="25" t="s">
        <v>32</v>
      </c>
      <c r="Z11" s="25">
        <v>106.5</v>
      </c>
      <c r="AA11" s="25"/>
      <c r="AB11" s="25">
        <v>106.1</v>
      </c>
      <c r="AC11" s="25"/>
      <c r="AD11" s="25">
        <v>105.1</v>
      </c>
      <c r="AE11" s="25"/>
      <c r="AF11" s="25">
        <v>104.4</v>
      </c>
      <c r="AG11" s="25"/>
      <c r="AH11" s="25">
        <v>104.5</v>
      </c>
      <c r="AI11" s="25"/>
      <c r="AJ11" s="25">
        <v>104.8</v>
      </c>
      <c r="AK11" s="25"/>
      <c r="AL11" s="25">
        <v>102.7</v>
      </c>
      <c r="AM11" s="25"/>
      <c r="AN11" s="25">
        <v>104.6</v>
      </c>
      <c r="AO11" s="25"/>
      <c r="AP11" s="25">
        <v>106.4</v>
      </c>
    </row>
    <row r="12" spans="1:43" hidden="1" x14ac:dyDescent="0.3">
      <c r="A12" s="25" t="s">
        <v>33</v>
      </c>
      <c r="B12" s="25">
        <v>2013</v>
      </c>
      <c r="C12" s="25" t="s">
        <v>37</v>
      </c>
      <c r="D12" s="26">
        <f>DATE(B12,MATCH(TRIM(C12),{"January","February","March","April","May","June","July","August","September","October","November","December"},0),1)</f>
        <v>41365</v>
      </c>
      <c r="E12" s="25">
        <v>114.6</v>
      </c>
      <c r="F12" s="25">
        <v>113.4</v>
      </c>
      <c r="G12" s="25">
        <v>106</v>
      </c>
      <c r="H12" s="25">
        <v>104.7</v>
      </c>
      <c r="I12" s="25">
        <v>102.1</v>
      </c>
      <c r="J12" s="25">
        <v>109.5</v>
      </c>
      <c r="K12" s="25">
        <v>109.7</v>
      </c>
      <c r="L12" s="25">
        <v>104.6</v>
      </c>
      <c r="M12" s="25">
        <v>102</v>
      </c>
      <c r="N12" s="25">
        <v>103.5</v>
      </c>
      <c r="O12" s="25">
        <v>108.2</v>
      </c>
      <c r="P12" s="25">
        <v>110.6</v>
      </c>
      <c r="Q12" s="25">
        <v>108.8</v>
      </c>
      <c r="R12" s="25"/>
      <c r="S12" s="25">
        <v>108.5</v>
      </c>
      <c r="T12" s="25"/>
      <c r="U12" s="25">
        <v>107.9</v>
      </c>
      <c r="V12" s="25">
        <v>106.4</v>
      </c>
      <c r="W12" s="25">
        <v>107.7</v>
      </c>
      <c r="X12" s="25"/>
      <c r="Y12" s="25">
        <v>100.5</v>
      </c>
      <c r="Z12" s="25">
        <v>106.4</v>
      </c>
      <c r="AA12" s="25"/>
      <c r="AB12" s="25">
        <v>106.5</v>
      </c>
      <c r="AC12" s="25"/>
      <c r="AD12" s="25">
        <v>105.7</v>
      </c>
      <c r="AE12" s="25"/>
      <c r="AF12" s="25">
        <v>105</v>
      </c>
      <c r="AG12" s="25"/>
      <c r="AH12" s="25">
        <v>104</v>
      </c>
      <c r="AI12" s="25"/>
      <c r="AJ12" s="25">
        <v>105.2</v>
      </c>
      <c r="AK12" s="25"/>
      <c r="AL12" s="25">
        <v>103.2</v>
      </c>
      <c r="AM12" s="25"/>
      <c r="AN12" s="25">
        <v>105.1</v>
      </c>
      <c r="AO12" s="25"/>
      <c r="AP12" s="25">
        <v>105.7</v>
      </c>
    </row>
    <row r="13" spans="1:43" hidden="1" x14ac:dyDescent="0.3">
      <c r="A13" s="25" t="s">
        <v>34</v>
      </c>
      <c r="B13" s="25">
        <v>2013</v>
      </c>
      <c r="C13" s="25" t="s">
        <v>37</v>
      </c>
      <c r="D13" s="26">
        <f>DATE(B13,MATCH(TRIM(C13),{"January","February","March","April","May","June","July","August","September","October","November","December"},0),1)</f>
        <v>41365</v>
      </c>
      <c r="E13" s="25">
        <v>111.6</v>
      </c>
      <c r="F13" s="25">
        <v>110.9</v>
      </c>
      <c r="G13" s="25">
        <v>106.6</v>
      </c>
      <c r="H13" s="25">
        <v>105.7</v>
      </c>
      <c r="I13" s="25">
        <v>104.4</v>
      </c>
      <c r="J13" s="25">
        <v>108.9</v>
      </c>
      <c r="K13" s="25">
        <v>105.5</v>
      </c>
      <c r="L13" s="25">
        <v>105.3</v>
      </c>
      <c r="M13" s="25">
        <v>103.5</v>
      </c>
      <c r="N13" s="25">
        <v>103.3</v>
      </c>
      <c r="O13" s="25">
        <v>107.2</v>
      </c>
      <c r="P13" s="25">
        <v>109.6</v>
      </c>
      <c r="Q13" s="25">
        <v>107.7</v>
      </c>
      <c r="R13" s="25"/>
      <c r="S13" s="25">
        <v>107.5</v>
      </c>
      <c r="T13" s="25"/>
      <c r="U13" s="25">
        <v>108</v>
      </c>
      <c r="V13" s="25">
        <v>107</v>
      </c>
      <c r="W13" s="25">
        <v>107.9</v>
      </c>
      <c r="X13" s="25"/>
      <c r="Y13" s="25">
        <v>100.5</v>
      </c>
      <c r="Z13" s="25">
        <v>106.5</v>
      </c>
      <c r="AA13" s="25"/>
      <c r="AB13" s="25">
        <v>106.3</v>
      </c>
      <c r="AC13" s="25"/>
      <c r="AD13" s="25">
        <v>105.3</v>
      </c>
      <c r="AE13" s="25"/>
      <c r="AF13" s="25">
        <v>104.7</v>
      </c>
      <c r="AG13" s="25"/>
      <c r="AH13" s="25">
        <v>104.2</v>
      </c>
      <c r="AI13" s="25"/>
      <c r="AJ13" s="25">
        <v>105</v>
      </c>
      <c r="AK13" s="25"/>
      <c r="AL13" s="25">
        <v>102.9</v>
      </c>
      <c r="AM13" s="25"/>
      <c r="AN13" s="25">
        <v>104.8</v>
      </c>
      <c r="AO13" s="25"/>
      <c r="AP13" s="25">
        <v>106.1</v>
      </c>
    </row>
    <row r="14" spans="1:43" hidden="1" x14ac:dyDescent="0.3">
      <c r="A14" s="25" t="s">
        <v>30</v>
      </c>
      <c r="B14" s="25">
        <v>2013</v>
      </c>
      <c r="C14" s="25" t="s">
        <v>38</v>
      </c>
      <c r="D14" s="26">
        <f>DATE(B14,MATCH(TRIM(C14),{"January","February","March","April","May","June","July","August","September","October","November","December"},0),1)</f>
        <v>41395</v>
      </c>
      <c r="E14" s="25">
        <v>110.9</v>
      </c>
      <c r="F14" s="25">
        <v>109.8</v>
      </c>
      <c r="G14" s="25">
        <v>105.9</v>
      </c>
      <c r="H14" s="25">
        <v>107.5</v>
      </c>
      <c r="I14" s="25">
        <v>105.3</v>
      </c>
      <c r="J14" s="25">
        <v>108.1</v>
      </c>
      <c r="K14" s="25">
        <v>107.3</v>
      </c>
      <c r="L14" s="25">
        <v>106.1</v>
      </c>
      <c r="M14" s="25">
        <v>103.7</v>
      </c>
      <c r="N14" s="25">
        <v>104</v>
      </c>
      <c r="O14" s="25">
        <v>107.4</v>
      </c>
      <c r="P14" s="25">
        <v>109.9</v>
      </c>
      <c r="Q14" s="25">
        <v>108.1</v>
      </c>
      <c r="R14" s="25"/>
      <c r="S14" s="25">
        <v>108.1</v>
      </c>
      <c r="T14" s="25"/>
      <c r="U14" s="25">
        <v>108.8</v>
      </c>
      <c r="V14" s="25">
        <v>107.9</v>
      </c>
      <c r="W14" s="25">
        <v>108.6</v>
      </c>
      <c r="X14" s="25"/>
      <c r="Y14" s="25" t="s">
        <v>32</v>
      </c>
      <c r="Z14" s="25">
        <v>107.5</v>
      </c>
      <c r="AA14" s="25"/>
      <c r="AB14" s="25">
        <v>106.8</v>
      </c>
      <c r="AC14" s="25"/>
      <c r="AD14" s="25">
        <v>105.7</v>
      </c>
      <c r="AE14" s="25"/>
      <c r="AF14" s="25">
        <v>104.1</v>
      </c>
      <c r="AG14" s="25"/>
      <c r="AH14" s="25">
        <v>105</v>
      </c>
      <c r="AI14" s="25"/>
      <c r="AJ14" s="25">
        <v>105.5</v>
      </c>
      <c r="AK14" s="25"/>
      <c r="AL14" s="25">
        <v>102.1</v>
      </c>
      <c r="AM14" s="25"/>
      <c r="AN14" s="25">
        <v>104.8</v>
      </c>
      <c r="AO14" s="25"/>
      <c r="AP14" s="25">
        <v>107.2</v>
      </c>
    </row>
    <row r="15" spans="1:43" hidden="1" x14ac:dyDescent="0.3">
      <c r="A15" s="25" t="s">
        <v>33</v>
      </c>
      <c r="B15" s="25">
        <v>2013</v>
      </c>
      <c r="C15" s="25" t="s">
        <v>38</v>
      </c>
      <c r="D15" s="26">
        <f>DATE(B15,MATCH(TRIM(C15),{"January","February","March","April","May","June","July","August","September","October","November","December"},0),1)</f>
        <v>41395</v>
      </c>
      <c r="E15" s="25">
        <v>115.4</v>
      </c>
      <c r="F15" s="25">
        <v>114.2</v>
      </c>
      <c r="G15" s="25">
        <v>102.7</v>
      </c>
      <c r="H15" s="25">
        <v>105.5</v>
      </c>
      <c r="I15" s="25">
        <v>101.5</v>
      </c>
      <c r="J15" s="25">
        <v>110.6</v>
      </c>
      <c r="K15" s="25">
        <v>123.7</v>
      </c>
      <c r="L15" s="25">
        <v>105.2</v>
      </c>
      <c r="M15" s="25">
        <v>101.9</v>
      </c>
      <c r="N15" s="25">
        <v>105</v>
      </c>
      <c r="O15" s="25">
        <v>109.1</v>
      </c>
      <c r="P15" s="25">
        <v>111.3</v>
      </c>
      <c r="Q15" s="25">
        <v>111.1</v>
      </c>
      <c r="R15" s="25"/>
      <c r="S15" s="25">
        <v>109.8</v>
      </c>
      <c r="T15" s="25"/>
      <c r="U15" s="25">
        <v>108.5</v>
      </c>
      <c r="V15" s="25">
        <v>106.7</v>
      </c>
      <c r="W15" s="25">
        <v>108.3</v>
      </c>
      <c r="X15" s="25"/>
      <c r="Y15" s="25">
        <v>100.5</v>
      </c>
      <c r="Z15" s="25">
        <v>107.2</v>
      </c>
      <c r="AA15" s="25"/>
      <c r="AB15" s="25">
        <v>107.1</v>
      </c>
      <c r="AC15" s="25"/>
      <c r="AD15" s="25">
        <v>106.2</v>
      </c>
      <c r="AE15" s="25"/>
      <c r="AF15" s="25">
        <v>103.9</v>
      </c>
      <c r="AG15" s="25"/>
      <c r="AH15" s="25">
        <v>104.6</v>
      </c>
      <c r="AI15" s="25"/>
      <c r="AJ15" s="25">
        <v>105.7</v>
      </c>
      <c r="AK15" s="25"/>
      <c r="AL15" s="25">
        <v>102.6</v>
      </c>
      <c r="AM15" s="25"/>
      <c r="AN15" s="25">
        <v>104.9</v>
      </c>
      <c r="AO15" s="25"/>
      <c r="AP15" s="25">
        <v>106.6</v>
      </c>
    </row>
    <row r="16" spans="1:43" hidden="1" x14ac:dyDescent="0.3">
      <c r="A16" s="25" t="s">
        <v>34</v>
      </c>
      <c r="B16" s="25">
        <v>2013</v>
      </c>
      <c r="C16" s="25" t="s">
        <v>38</v>
      </c>
      <c r="D16" s="26">
        <f>DATE(B16,MATCH(TRIM(C16),{"January","February","March","April","May","June","July","August","September","October","November","December"},0),1)</f>
        <v>41395</v>
      </c>
      <c r="E16" s="25">
        <v>112.3</v>
      </c>
      <c r="F16" s="25">
        <v>111.3</v>
      </c>
      <c r="G16" s="25">
        <v>104.7</v>
      </c>
      <c r="H16" s="25">
        <v>106.8</v>
      </c>
      <c r="I16" s="25">
        <v>103.9</v>
      </c>
      <c r="J16" s="25">
        <v>109.3</v>
      </c>
      <c r="K16" s="25">
        <v>112.9</v>
      </c>
      <c r="L16" s="25">
        <v>105.8</v>
      </c>
      <c r="M16" s="25">
        <v>103.1</v>
      </c>
      <c r="N16" s="25">
        <v>104.3</v>
      </c>
      <c r="O16" s="25">
        <v>108.1</v>
      </c>
      <c r="P16" s="25">
        <v>110.5</v>
      </c>
      <c r="Q16" s="25">
        <v>109.2</v>
      </c>
      <c r="R16" s="25"/>
      <c r="S16" s="25">
        <v>108.6</v>
      </c>
      <c r="T16" s="25"/>
      <c r="U16" s="25">
        <v>108.7</v>
      </c>
      <c r="V16" s="25">
        <v>107.4</v>
      </c>
      <c r="W16" s="25">
        <v>108.5</v>
      </c>
      <c r="X16" s="25"/>
      <c r="Y16" s="25">
        <v>100.5</v>
      </c>
      <c r="Z16" s="25">
        <v>107.4</v>
      </c>
      <c r="AA16" s="25"/>
      <c r="AB16" s="25">
        <v>106.9</v>
      </c>
      <c r="AC16" s="25"/>
      <c r="AD16" s="25">
        <v>105.9</v>
      </c>
      <c r="AE16" s="25"/>
      <c r="AF16" s="25">
        <v>104</v>
      </c>
      <c r="AG16" s="25"/>
      <c r="AH16" s="25">
        <v>104.8</v>
      </c>
      <c r="AI16" s="25"/>
      <c r="AJ16" s="25">
        <v>105.6</v>
      </c>
      <c r="AK16" s="25"/>
      <c r="AL16" s="25">
        <v>102.3</v>
      </c>
      <c r="AM16" s="25"/>
      <c r="AN16" s="25">
        <v>104.8</v>
      </c>
      <c r="AO16" s="25"/>
      <c r="AP16" s="25">
        <v>106.9</v>
      </c>
    </row>
    <row r="17" spans="1:42" hidden="1" x14ac:dyDescent="0.3">
      <c r="A17" s="25" t="s">
        <v>30</v>
      </c>
      <c r="B17" s="25">
        <v>2013</v>
      </c>
      <c r="C17" s="25" t="s">
        <v>39</v>
      </c>
      <c r="D17" s="26">
        <f>DATE(B17,MATCH(TRIM(C17),{"January","February","March","April","May","June","July","August","September","October","November","December"},0),1)</f>
        <v>41426</v>
      </c>
      <c r="E17" s="25">
        <v>112.3</v>
      </c>
      <c r="F17" s="25">
        <v>112.1</v>
      </c>
      <c r="G17" s="25">
        <v>108.1</v>
      </c>
      <c r="H17" s="25">
        <v>108.3</v>
      </c>
      <c r="I17" s="25">
        <v>105.9</v>
      </c>
      <c r="J17" s="25">
        <v>109.2</v>
      </c>
      <c r="K17" s="25">
        <v>118</v>
      </c>
      <c r="L17" s="25">
        <v>106.8</v>
      </c>
      <c r="M17" s="25">
        <v>104.1</v>
      </c>
      <c r="N17" s="25">
        <v>105.4</v>
      </c>
      <c r="O17" s="25">
        <v>108.2</v>
      </c>
      <c r="P17" s="25">
        <v>111</v>
      </c>
      <c r="Q17" s="25">
        <v>110.6</v>
      </c>
      <c r="R17" s="25"/>
      <c r="S17" s="25">
        <v>109</v>
      </c>
      <c r="T17" s="25"/>
      <c r="U17" s="25">
        <v>109.7</v>
      </c>
      <c r="V17" s="25">
        <v>108.8</v>
      </c>
      <c r="W17" s="25">
        <v>109.5</v>
      </c>
      <c r="X17" s="25"/>
      <c r="Y17" s="25" t="s">
        <v>32</v>
      </c>
      <c r="Z17" s="25">
        <v>108.5</v>
      </c>
      <c r="AA17" s="25"/>
      <c r="AB17" s="25">
        <v>107.5</v>
      </c>
      <c r="AC17" s="25"/>
      <c r="AD17" s="25">
        <v>106.3</v>
      </c>
      <c r="AE17" s="25"/>
      <c r="AF17" s="25">
        <v>105</v>
      </c>
      <c r="AG17" s="25"/>
      <c r="AH17" s="25">
        <v>105.6</v>
      </c>
      <c r="AI17" s="25"/>
      <c r="AJ17" s="25">
        <v>106.5</v>
      </c>
      <c r="AK17" s="25"/>
      <c r="AL17" s="25">
        <v>102.5</v>
      </c>
      <c r="AM17" s="25"/>
      <c r="AN17" s="25">
        <v>105.5</v>
      </c>
      <c r="AO17" s="25"/>
      <c r="AP17" s="25">
        <v>108.9</v>
      </c>
    </row>
    <row r="18" spans="1:42" hidden="1" x14ac:dyDescent="0.3">
      <c r="A18" s="25" t="s">
        <v>33</v>
      </c>
      <c r="B18" s="25">
        <v>2013</v>
      </c>
      <c r="C18" s="25" t="s">
        <v>39</v>
      </c>
      <c r="D18" s="26">
        <f>DATE(B18,MATCH(TRIM(C18),{"January","February","March","April","May","June","July","August","September","October","November","December"},0),1)</f>
        <v>41426</v>
      </c>
      <c r="E18" s="25">
        <v>117</v>
      </c>
      <c r="F18" s="25">
        <v>120.1</v>
      </c>
      <c r="G18" s="25">
        <v>112.5</v>
      </c>
      <c r="H18" s="25">
        <v>107.3</v>
      </c>
      <c r="I18" s="25">
        <v>101.3</v>
      </c>
      <c r="J18" s="25">
        <v>112.4</v>
      </c>
      <c r="K18" s="25">
        <v>143.6</v>
      </c>
      <c r="L18" s="25">
        <v>105.4</v>
      </c>
      <c r="M18" s="25">
        <v>101.4</v>
      </c>
      <c r="N18" s="25">
        <v>106.4</v>
      </c>
      <c r="O18" s="25">
        <v>110</v>
      </c>
      <c r="P18" s="25">
        <v>112.2</v>
      </c>
      <c r="Q18" s="25">
        <v>115</v>
      </c>
      <c r="R18" s="25"/>
      <c r="S18" s="25">
        <v>110.9</v>
      </c>
      <c r="T18" s="25"/>
      <c r="U18" s="25">
        <v>109.2</v>
      </c>
      <c r="V18" s="25">
        <v>107.2</v>
      </c>
      <c r="W18" s="25">
        <v>108.9</v>
      </c>
      <c r="X18" s="25"/>
      <c r="Y18" s="25">
        <v>106.6</v>
      </c>
      <c r="Z18" s="25">
        <v>108</v>
      </c>
      <c r="AA18" s="25"/>
      <c r="AB18" s="25">
        <v>107.7</v>
      </c>
      <c r="AC18" s="25"/>
      <c r="AD18" s="25">
        <v>106.5</v>
      </c>
      <c r="AE18" s="25"/>
      <c r="AF18" s="25">
        <v>105.2</v>
      </c>
      <c r="AG18" s="25"/>
      <c r="AH18" s="25">
        <v>105.2</v>
      </c>
      <c r="AI18" s="25"/>
      <c r="AJ18" s="25">
        <v>108.1</v>
      </c>
      <c r="AK18" s="25"/>
      <c r="AL18" s="25">
        <v>103.3</v>
      </c>
      <c r="AM18" s="25"/>
      <c r="AN18" s="25">
        <v>106.1</v>
      </c>
      <c r="AO18" s="25"/>
      <c r="AP18" s="25">
        <v>109.7</v>
      </c>
    </row>
    <row r="19" spans="1:42" hidden="1" x14ac:dyDescent="0.3">
      <c r="A19" s="25" t="s">
        <v>34</v>
      </c>
      <c r="B19" s="25">
        <v>2013</v>
      </c>
      <c r="C19" s="25" t="s">
        <v>39</v>
      </c>
      <c r="D19" s="26">
        <f>DATE(B19,MATCH(TRIM(C19),{"January","February","March","April","May","June","July","August","September","October","November","December"},0),1)</f>
        <v>41426</v>
      </c>
      <c r="E19" s="25">
        <v>113.8</v>
      </c>
      <c r="F19" s="25">
        <v>114.9</v>
      </c>
      <c r="G19" s="25">
        <v>109.8</v>
      </c>
      <c r="H19" s="25">
        <v>107.9</v>
      </c>
      <c r="I19" s="25">
        <v>104.2</v>
      </c>
      <c r="J19" s="25">
        <v>110.7</v>
      </c>
      <c r="K19" s="25">
        <v>126.7</v>
      </c>
      <c r="L19" s="25">
        <v>106.3</v>
      </c>
      <c r="M19" s="25">
        <v>103.2</v>
      </c>
      <c r="N19" s="25">
        <v>105.7</v>
      </c>
      <c r="O19" s="25">
        <v>109</v>
      </c>
      <c r="P19" s="25">
        <v>111.6</v>
      </c>
      <c r="Q19" s="25">
        <v>112.2</v>
      </c>
      <c r="R19" s="25"/>
      <c r="S19" s="25">
        <v>109.5</v>
      </c>
      <c r="T19" s="25"/>
      <c r="U19" s="25">
        <v>109.5</v>
      </c>
      <c r="V19" s="25">
        <v>108.1</v>
      </c>
      <c r="W19" s="25">
        <v>109.3</v>
      </c>
      <c r="X19" s="25"/>
      <c r="Y19" s="25">
        <v>106.6</v>
      </c>
      <c r="Z19" s="25">
        <v>108.3</v>
      </c>
      <c r="AA19" s="25"/>
      <c r="AB19" s="25">
        <v>107.6</v>
      </c>
      <c r="AC19" s="25"/>
      <c r="AD19" s="25">
        <v>106.4</v>
      </c>
      <c r="AE19" s="25"/>
      <c r="AF19" s="25">
        <v>105.1</v>
      </c>
      <c r="AG19" s="25"/>
      <c r="AH19" s="25">
        <v>105.4</v>
      </c>
      <c r="AI19" s="25"/>
      <c r="AJ19" s="25">
        <v>107.4</v>
      </c>
      <c r="AK19" s="25"/>
      <c r="AL19" s="25">
        <v>102.8</v>
      </c>
      <c r="AM19" s="25"/>
      <c r="AN19" s="25">
        <v>105.8</v>
      </c>
      <c r="AO19" s="25"/>
      <c r="AP19" s="25">
        <v>109.3</v>
      </c>
    </row>
    <row r="20" spans="1:42" hidden="1" x14ac:dyDescent="0.3">
      <c r="A20" s="25" t="s">
        <v>30</v>
      </c>
      <c r="B20" s="25">
        <v>2013</v>
      </c>
      <c r="C20" s="25" t="s">
        <v>40</v>
      </c>
      <c r="D20" s="26">
        <f>DATE(B20,MATCH(TRIM(C20),{"January","February","March","April","May","June","July","August","September","October","November","December"},0),1)</f>
        <v>41456</v>
      </c>
      <c r="E20" s="25">
        <v>113.4</v>
      </c>
      <c r="F20" s="25">
        <v>114.9</v>
      </c>
      <c r="G20" s="25">
        <v>110.5</v>
      </c>
      <c r="H20" s="25">
        <v>109.3</v>
      </c>
      <c r="I20" s="25">
        <v>106.2</v>
      </c>
      <c r="J20" s="25">
        <v>110.3</v>
      </c>
      <c r="K20" s="25">
        <v>129.19999999999999</v>
      </c>
      <c r="L20" s="25">
        <v>107.1</v>
      </c>
      <c r="M20" s="25">
        <v>104.3</v>
      </c>
      <c r="N20" s="25">
        <v>106.4</v>
      </c>
      <c r="O20" s="25">
        <v>109.1</v>
      </c>
      <c r="P20" s="25">
        <v>112.1</v>
      </c>
      <c r="Q20" s="25">
        <v>113.1</v>
      </c>
      <c r="R20" s="25"/>
      <c r="S20" s="25">
        <v>109.8</v>
      </c>
      <c r="T20" s="25"/>
      <c r="U20" s="25">
        <v>110.5</v>
      </c>
      <c r="V20" s="25">
        <v>109.5</v>
      </c>
      <c r="W20" s="25">
        <v>110.3</v>
      </c>
      <c r="X20" s="25"/>
      <c r="Y20" s="25" t="s">
        <v>32</v>
      </c>
      <c r="Z20" s="25">
        <v>109.5</v>
      </c>
      <c r="AA20" s="25"/>
      <c r="AB20" s="25">
        <v>108.3</v>
      </c>
      <c r="AC20" s="25"/>
      <c r="AD20" s="25">
        <v>106.9</v>
      </c>
      <c r="AE20" s="25"/>
      <c r="AF20" s="25">
        <v>106.8</v>
      </c>
      <c r="AG20" s="25"/>
      <c r="AH20" s="25">
        <v>106.4</v>
      </c>
      <c r="AI20" s="25"/>
      <c r="AJ20" s="25">
        <v>107.8</v>
      </c>
      <c r="AK20" s="25"/>
      <c r="AL20" s="25">
        <v>102.5</v>
      </c>
      <c r="AM20" s="25"/>
      <c r="AN20" s="25">
        <v>106.5</v>
      </c>
      <c r="AO20" s="25"/>
      <c r="AP20" s="25">
        <v>110.7</v>
      </c>
    </row>
    <row r="21" spans="1:42" hidden="1" x14ac:dyDescent="0.3">
      <c r="A21" s="25" t="s">
        <v>33</v>
      </c>
      <c r="B21" s="25">
        <v>2013</v>
      </c>
      <c r="C21" s="25" t="s">
        <v>40</v>
      </c>
      <c r="D21" s="26">
        <f>DATE(B21,MATCH(TRIM(C21),{"January","February","March","April","May","June","July","August","September","October","November","December"},0),1)</f>
        <v>41456</v>
      </c>
      <c r="E21" s="25">
        <v>117.8</v>
      </c>
      <c r="F21" s="25">
        <v>119.2</v>
      </c>
      <c r="G21" s="25">
        <v>114</v>
      </c>
      <c r="H21" s="25">
        <v>108.3</v>
      </c>
      <c r="I21" s="25">
        <v>101.1</v>
      </c>
      <c r="J21" s="25">
        <v>113.2</v>
      </c>
      <c r="K21" s="25">
        <v>160.9</v>
      </c>
      <c r="L21" s="25">
        <v>105.1</v>
      </c>
      <c r="M21" s="25">
        <v>101.3</v>
      </c>
      <c r="N21" s="25">
        <v>107.5</v>
      </c>
      <c r="O21" s="25">
        <v>110.4</v>
      </c>
      <c r="P21" s="25">
        <v>113.1</v>
      </c>
      <c r="Q21" s="25">
        <v>117.5</v>
      </c>
      <c r="R21" s="25"/>
      <c r="S21" s="25">
        <v>111.7</v>
      </c>
      <c r="T21" s="25"/>
      <c r="U21" s="25">
        <v>109.8</v>
      </c>
      <c r="V21" s="25">
        <v>107.8</v>
      </c>
      <c r="W21" s="25">
        <v>109.5</v>
      </c>
      <c r="X21" s="25"/>
      <c r="Y21" s="25">
        <v>107.7</v>
      </c>
      <c r="Z21" s="25">
        <v>108.6</v>
      </c>
      <c r="AA21" s="25"/>
      <c r="AB21" s="25">
        <v>108.1</v>
      </c>
      <c r="AC21" s="25"/>
      <c r="AD21" s="25">
        <v>107.1</v>
      </c>
      <c r="AE21" s="25"/>
      <c r="AF21" s="25">
        <v>107.3</v>
      </c>
      <c r="AG21" s="25"/>
      <c r="AH21" s="25">
        <v>105.9</v>
      </c>
      <c r="AI21" s="25"/>
      <c r="AJ21" s="25">
        <v>110.1</v>
      </c>
      <c r="AK21" s="25"/>
      <c r="AL21" s="25">
        <v>103.2</v>
      </c>
      <c r="AM21" s="25"/>
      <c r="AN21" s="25">
        <v>107.3</v>
      </c>
      <c r="AO21" s="25"/>
      <c r="AP21" s="25">
        <v>111.4</v>
      </c>
    </row>
    <row r="22" spans="1:42" hidden="1" x14ac:dyDescent="0.3">
      <c r="A22" s="25" t="s">
        <v>34</v>
      </c>
      <c r="B22" s="25">
        <v>2013</v>
      </c>
      <c r="C22" s="25" t="s">
        <v>40</v>
      </c>
      <c r="D22" s="26">
        <f>DATE(B22,MATCH(TRIM(C22),{"January","February","March","April","May","June","July","August","September","October","November","December"},0),1)</f>
        <v>41456</v>
      </c>
      <c r="E22" s="25">
        <v>114.8</v>
      </c>
      <c r="F22" s="25">
        <v>116.4</v>
      </c>
      <c r="G22" s="25">
        <v>111.9</v>
      </c>
      <c r="H22" s="25">
        <v>108.9</v>
      </c>
      <c r="I22" s="25">
        <v>104.3</v>
      </c>
      <c r="J22" s="25">
        <v>111.7</v>
      </c>
      <c r="K22" s="25">
        <v>140</v>
      </c>
      <c r="L22" s="25">
        <v>106.4</v>
      </c>
      <c r="M22" s="25">
        <v>103.3</v>
      </c>
      <c r="N22" s="25">
        <v>106.8</v>
      </c>
      <c r="O22" s="25">
        <v>109.6</v>
      </c>
      <c r="P22" s="25">
        <v>112.6</v>
      </c>
      <c r="Q22" s="25">
        <v>114.7</v>
      </c>
      <c r="R22" s="25"/>
      <c r="S22" s="25">
        <v>110.3</v>
      </c>
      <c r="T22" s="25"/>
      <c r="U22" s="25">
        <v>110.2</v>
      </c>
      <c r="V22" s="25">
        <v>108.8</v>
      </c>
      <c r="W22" s="25">
        <v>110</v>
      </c>
      <c r="X22" s="25"/>
      <c r="Y22" s="25">
        <v>107.7</v>
      </c>
      <c r="Z22" s="25">
        <v>109.2</v>
      </c>
      <c r="AA22" s="25"/>
      <c r="AB22" s="25">
        <v>108.2</v>
      </c>
      <c r="AC22" s="25"/>
      <c r="AD22" s="25">
        <v>107</v>
      </c>
      <c r="AE22" s="25"/>
      <c r="AF22" s="25">
        <v>107.1</v>
      </c>
      <c r="AG22" s="25"/>
      <c r="AH22" s="25">
        <v>106.1</v>
      </c>
      <c r="AI22" s="25"/>
      <c r="AJ22" s="25">
        <v>109.1</v>
      </c>
      <c r="AK22" s="25"/>
      <c r="AL22" s="25">
        <v>102.8</v>
      </c>
      <c r="AM22" s="25"/>
      <c r="AN22" s="25">
        <v>106.9</v>
      </c>
      <c r="AO22" s="25"/>
      <c r="AP22" s="25">
        <v>111</v>
      </c>
    </row>
    <row r="23" spans="1:42" hidden="1" x14ac:dyDescent="0.3">
      <c r="A23" s="25" t="s">
        <v>30</v>
      </c>
      <c r="B23" s="25">
        <v>2013</v>
      </c>
      <c r="C23" s="25" t="s">
        <v>41</v>
      </c>
      <c r="D23" s="26">
        <f>DATE(B23,MATCH(TRIM(C23),{"January","February","March","April","May","June","July","August","September","October","November","December"},0),1)</f>
        <v>41487</v>
      </c>
      <c r="E23" s="25">
        <v>114.3</v>
      </c>
      <c r="F23" s="25">
        <v>115.4</v>
      </c>
      <c r="G23" s="25">
        <v>111.1</v>
      </c>
      <c r="H23" s="25">
        <v>110</v>
      </c>
      <c r="I23" s="25">
        <v>106.4</v>
      </c>
      <c r="J23" s="25">
        <v>110.8</v>
      </c>
      <c r="K23" s="25">
        <v>138.9</v>
      </c>
      <c r="L23" s="25">
        <v>107.4</v>
      </c>
      <c r="M23" s="25">
        <v>104.1</v>
      </c>
      <c r="N23" s="25">
        <v>106.9</v>
      </c>
      <c r="O23" s="25">
        <v>109.7</v>
      </c>
      <c r="P23" s="25">
        <v>112.6</v>
      </c>
      <c r="Q23" s="25">
        <v>114.9</v>
      </c>
      <c r="R23" s="25"/>
      <c r="S23" s="25">
        <v>110.7</v>
      </c>
      <c r="T23" s="25"/>
      <c r="U23" s="25">
        <v>111.3</v>
      </c>
      <c r="V23" s="25">
        <v>110.2</v>
      </c>
      <c r="W23" s="25">
        <v>111.1</v>
      </c>
      <c r="X23" s="25"/>
      <c r="Y23" s="25" t="s">
        <v>32</v>
      </c>
      <c r="Z23" s="25">
        <v>109.9</v>
      </c>
      <c r="AA23" s="25"/>
      <c r="AB23" s="25">
        <v>108.7</v>
      </c>
      <c r="AC23" s="25"/>
      <c r="AD23" s="25">
        <v>107.5</v>
      </c>
      <c r="AE23" s="25"/>
      <c r="AF23" s="25">
        <v>107.8</v>
      </c>
      <c r="AG23" s="25"/>
      <c r="AH23" s="25">
        <v>106.8</v>
      </c>
      <c r="AI23" s="25"/>
      <c r="AJ23" s="25">
        <v>108.7</v>
      </c>
      <c r="AK23" s="25"/>
      <c r="AL23" s="25">
        <v>105</v>
      </c>
      <c r="AM23" s="25"/>
      <c r="AN23" s="25">
        <v>107.5</v>
      </c>
      <c r="AO23" s="25"/>
      <c r="AP23" s="25">
        <v>112.1</v>
      </c>
    </row>
    <row r="24" spans="1:42" hidden="1" x14ac:dyDescent="0.3">
      <c r="A24" s="25" t="s">
        <v>33</v>
      </c>
      <c r="B24" s="25">
        <v>2013</v>
      </c>
      <c r="C24" s="25" t="s">
        <v>41</v>
      </c>
      <c r="D24" s="26">
        <f>DATE(B24,MATCH(TRIM(C24),{"January","February","March","April","May","June","July","August","September","October","November","December"},0),1)</f>
        <v>41487</v>
      </c>
      <c r="E24" s="25">
        <v>118.3</v>
      </c>
      <c r="F24" s="25">
        <v>120.4</v>
      </c>
      <c r="G24" s="25">
        <v>112.7</v>
      </c>
      <c r="H24" s="25">
        <v>108.9</v>
      </c>
      <c r="I24" s="25">
        <v>101.1</v>
      </c>
      <c r="J24" s="25">
        <v>108.7</v>
      </c>
      <c r="K24" s="25">
        <v>177</v>
      </c>
      <c r="L24" s="25">
        <v>104.7</v>
      </c>
      <c r="M24" s="25">
        <v>101</v>
      </c>
      <c r="N24" s="25">
        <v>108.5</v>
      </c>
      <c r="O24" s="25">
        <v>110.9</v>
      </c>
      <c r="P24" s="25">
        <v>114.3</v>
      </c>
      <c r="Q24" s="25">
        <v>119.6</v>
      </c>
      <c r="R24" s="25"/>
      <c r="S24" s="25">
        <v>112.4</v>
      </c>
      <c r="T24" s="25"/>
      <c r="U24" s="25">
        <v>110.6</v>
      </c>
      <c r="V24" s="25">
        <v>108.3</v>
      </c>
      <c r="W24" s="25">
        <v>110.2</v>
      </c>
      <c r="X24" s="25"/>
      <c r="Y24" s="25">
        <v>108.9</v>
      </c>
      <c r="Z24" s="25">
        <v>109.3</v>
      </c>
      <c r="AA24" s="25"/>
      <c r="AB24" s="25">
        <v>108.7</v>
      </c>
      <c r="AC24" s="25"/>
      <c r="AD24" s="25">
        <v>107.6</v>
      </c>
      <c r="AE24" s="25"/>
      <c r="AF24" s="25">
        <v>108.1</v>
      </c>
      <c r="AG24" s="25"/>
      <c r="AH24" s="25">
        <v>106.5</v>
      </c>
      <c r="AI24" s="25"/>
      <c r="AJ24" s="25">
        <v>110.8</v>
      </c>
      <c r="AK24" s="25"/>
      <c r="AL24" s="25">
        <v>106</v>
      </c>
      <c r="AM24" s="25"/>
      <c r="AN24" s="25">
        <v>108.3</v>
      </c>
      <c r="AO24" s="25"/>
      <c r="AP24" s="25">
        <v>112.7</v>
      </c>
    </row>
    <row r="25" spans="1:42" hidden="1" x14ac:dyDescent="0.3">
      <c r="A25" s="25" t="s">
        <v>34</v>
      </c>
      <c r="B25" s="25">
        <v>2013</v>
      </c>
      <c r="C25" s="25" t="s">
        <v>41</v>
      </c>
      <c r="D25" s="26">
        <f>DATE(B25,MATCH(TRIM(C25),{"January","February","March","April","May","June","July","August","September","October","November","December"},0),1)</f>
        <v>41487</v>
      </c>
      <c r="E25" s="25">
        <v>115.6</v>
      </c>
      <c r="F25" s="25">
        <v>117.2</v>
      </c>
      <c r="G25" s="25">
        <v>111.7</v>
      </c>
      <c r="H25" s="25">
        <v>109.6</v>
      </c>
      <c r="I25" s="25">
        <v>104.5</v>
      </c>
      <c r="J25" s="25">
        <v>109.8</v>
      </c>
      <c r="K25" s="25">
        <v>151.80000000000001</v>
      </c>
      <c r="L25" s="25">
        <v>106.5</v>
      </c>
      <c r="M25" s="25">
        <v>103.1</v>
      </c>
      <c r="N25" s="25">
        <v>107.4</v>
      </c>
      <c r="O25" s="25">
        <v>110.2</v>
      </c>
      <c r="P25" s="25">
        <v>113.4</v>
      </c>
      <c r="Q25" s="25">
        <v>116.6</v>
      </c>
      <c r="R25" s="25"/>
      <c r="S25" s="25">
        <v>111.2</v>
      </c>
      <c r="T25" s="25"/>
      <c r="U25" s="25">
        <v>111</v>
      </c>
      <c r="V25" s="25">
        <v>109.4</v>
      </c>
      <c r="W25" s="25">
        <v>110.7</v>
      </c>
      <c r="X25" s="25"/>
      <c r="Y25" s="25">
        <v>108.9</v>
      </c>
      <c r="Z25" s="25">
        <v>109.7</v>
      </c>
      <c r="AA25" s="25"/>
      <c r="AB25" s="25">
        <v>108.7</v>
      </c>
      <c r="AC25" s="25"/>
      <c r="AD25" s="25">
        <v>107.5</v>
      </c>
      <c r="AE25" s="25"/>
      <c r="AF25" s="25">
        <v>108</v>
      </c>
      <c r="AG25" s="25"/>
      <c r="AH25" s="25">
        <v>106.6</v>
      </c>
      <c r="AI25" s="25"/>
      <c r="AJ25" s="25">
        <v>109.9</v>
      </c>
      <c r="AK25" s="25"/>
      <c r="AL25" s="25">
        <v>105.4</v>
      </c>
      <c r="AM25" s="25"/>
      <c r="AN25" s="25">
        <v>107.9</v>
      </c>
      <c r="AO25" s="25"/>
      <c r="AP25" s="25">
        <v>112.4</v>
      </c>
    </row>
    <row r="26" spans="1:42" hidden="1" x14ac:dyDescent="0.3">
      <c r="A26" s="25" t="s">
        <v>30</v>
      </c>
      <c r="B26" s="25">
        <v>2013</v>
      </c>
      <c r="C26" s="25" t="s">
        <v>42</v>
      </c>
      <c r="D26" s="26">
        <f>DATE(B26,MATCH(TRIM(C26),{"January","February","March","April","May","June","July","August","September","October","November","December"},0),1)</f>
        <v>41518</v>
      </c>
      <c r="E26" s="25">
        <v>115.4</v>
      </c>
      <c r="F26" s="25">
        <v>115.7</v>
      </c>
      <c r="G26" s="25">
        <v>111.7</v>
      </c>
      <c r="H26" s="25">
        <v>111</v>
      </c>
      <c r="I26" s="25">
        <v>107.4</v>
      </c>
      <c r="J26" s="25">
        <v>110.9</v>
      </c>
      <c r="K26" s="25">
        <v>154</v>
      </c>
      <c r="L26" s="25">
        <v>108.1</v>
      </c>
      <c r="M26" s="25">
        <v>104.2</v>
      </c>
      <c r="N26" s="25">
        <v>107.9</v>
      </c>
      <c r="O26" s="25">
        <v>110.4</v>
      </c>
      <c r="P26" s="25">
        <v>114</v>
      </c>
      <c r="Q26" s="25">
        <v>117.8</v>
      </c>
      <c r="R26" s="25"/>
      <c r="S26" s="25">
        <v>111.7</v>
      </c>
      <c r="T26" s="25"/>
      <c r="U26" s="25">
        <v>112.7</v>
      </c>
      <c r="V26" s="25">
        <v>111.4</v>
      </c>
      <c r="W26" s="25">
        <v>112.5</v>
      </c>
      <c r="X26" s="25"/>
      <c r="Y26" s="25" t="s">
        <v>32</v>
      </c>
      <c r="Z26" s="25">
        <v>111.1</v>
      </c>
      <c r="AA26" s="25"/>
      <c r="AB26" s="25">
        <v>109.6</v>
      </c>
      <c r="AC26" s="25"/>
      <c r="AD26" s="25">
        <v>108.3</v>
      </c>
      <c r="AE26" s="25"/>
      <c r="AF26" s="25">
        <v>109.3</v>
      </c>
      <c r="AG26" s="25"/>
      <c r="AH26" s="25">
        <v>107.7</v>
      </c>
      <c r="AI26" s="25"/>
      <c r="AJ26" s="25">
        <v>109.8</v>
      </c>
      <c r="AK26" s="25"/>
      <c r="AL26" s="25">
        <v>106.7</v>
      </c>
      <c r="AM26" s="25"/>
      <c r="AN26" s="25">
        <v>108.7</v>
      </c>
      <c r="AO26" s="25"/>
      <c r="AP26" s="25">
        <v>114.2</v>
      </c>
    </row>
    <row r="27" spans="1:42" hidden="1" x14ac:dyDescent="0.3">
      <c r="A27" s="25" t="s">
        <v>33</v>
      </c>
      <c r="B27" s="25">
        <v>2013</v>
      </c>
      <c r="C27" s="25" t="s">
        <v>42</v>
      </c>
      <c r="D27" s="26">
        <f>DATE(B27,MATCH(TRIM(C27),{"January","February","March","April","May","June","July","August","September","October","November","December"},0),1)</f>
        <v>41518</v>
      </c>
      <c r="E27" s="25">
        <v>118.6</v>
      </c>
      <c r="F27" s="25">
        <v>119.1</v>
      </c>
      <c r="G27" s="25">
        <v>113.2</v>
      </c>
      <c r="H27" s="25">
        <v>109.6</v>
      </c>
      <c r="I27" s="25">
        <v>101.7</v>
      </c>
      <c r="J27" s="25">
        <v>103.2</v>
      </c>
      <c r="K27" s="25">
        <v>174.3</v>
      </c>
      <c r="L27" s="25">
        <v>105.1</v>
      </c>
      <c r="M27" s="25">
        <v>100.8</v>
      </c>
      <c r="N27" s="25">
        <v>109.1</v>
      </c>
      <c r="O27" s="25">
        <v>111.1</v>
      </c>
      <c r="P27" s="25">
        <v>115.4</v>
      </c>
      <c r="Q27" s="25">
        <v>119.2</v>
      </c>
      <c r="R27" s="25"/>
      <c r="S27" s="25">
        <v>112.9</v>
      </c>
      <c r="T27" s="25"/>
      <c r="U27" s="25">
        <v>111.4</v>
      </c>
      <c r="V27" s="25">
        <v>109</v>
      </c>
      <c r="W27" s="25">
        <v>111.1</v>
      </c>
      <c r="X27" s="25"/>
      <c r="Y27" s="25">
        <v>109.7</v>
      </c>
      <c r="Z27" s="25">
        <v>109.5</v>
      </c>
      <c r="AA27" s="25"/>
      <c r="AB27" s="25">
        <v>109.6</v>
      </c>
      <c r="AC27" s="25"/>
      <c r="AD27" s="25">
        <v>107.9</v>
      </c>
      <c r="AE27" s="25"/>
      <c r="AF27" s="25">
        <v>110.4</v>
      </c>
      <c r="AG27" s="25"/>
      <c r="AH27" s="25">
        <v>107.4</v>
      </c>
      <c r="AI27" s="25"/>
      <c r="AJ27" s="25">
        <v>111.2</v>
      </c>
      <c r="AK27" s="25"/>
      <c r="AL27" s="25">
        <v>106.9</v>
      </c>
      <c r="AM27" s="25"/>
      <c r="AN27" s="25">
        <v>109.4</v>
      </c>
      <c r="AO27" s="25"/>
      <c r="AP27" s="25">
        <v>113.2</v>
      </c>
    </row>
    <row r="28" spans="1:42" hidden="1" x14ac:dyDescent="0.3">
      <c r="A28" s="25" t="s">
        <v>34</v>
      </c>
      <c r="B28" s="25">
        <v>2013</v>
      </c>
      <c r="C28" s="25" t="s">
        <v>42</v>
      </c>
      <c r="D28" s="26">
        <f>DATE(B28,MATCH(TRIM(C28),{"January","February","March","April","May","June","July","August","September","October","November","December"},0),1)</f>
        <v>41518</v>
      </c>
      <c r="E28" s="25">
        <v>116.4</v>
      </c>
      <c r="F28" s="25">
        <v>116.9</v>
      </c>
      <c r="G28" s="25">
        <v>112.3</v>
      </c>
      <c r="H28" s="25">
        <v>110.5</v>
      </c>
      <c r="I28" s="25">
        <v>105.3</v>
      </c>
      <c r="J28" s="25">
        <v>107.3</v>
      </c>
      <c r="K28" s="25">
        <v>160.9</v>
      </c>
      <c r="L28" s="25">
        <v>107.1</v>
      </c>
      <c r="M28" s="25">
        <v>103.1</v>
      </c>
      <c r="N28" s="25">
        <v>108.3</v>
      </c>
      <c r="O28" s="25">
        <v>110.7</v>
      </c>
      <c r="P28" s="25">
        <v>114.6</v>
      </c>
      <c r="Q28" s="25">
        <v>118.3</v>
      </c>
      <c r="R28" s="25"/>
      <c r="S28" s="25">
        <v>112</v>
      </c>
      <c r="T28" s="25"/>
      <c r="U28" s="25">
        <v>112.2</v>
      </c>
      <c r="V28" s="25">
        <v>110.4</v>
      </c>
      <c r="W28" s="25">
        <v>111.9</v>
      </c>
      <c r="X28" s="25"/>
      <c r="Y28" s="25">
        <v>109.7</v>
      </c>
      <c r="Z28" s="25">
        <v>110.5</v>
      </c>
      <c r="AA28" s="25"/>
      <c r="AB28" s="25">
        <v>109.6</v>
      </c>
      <c r="AC28" s="25"/>
      <c r="AD28" s="25">
        <v>108.1</v>
      </c>
      <c r="AE28" s="25"/>
      <c r="AF28" s="25">
        <v>109.9</v>
      </c>
      <c r="AG28" s="25"/>
      <c r="AH28" s="25">
        <v>107.5</v>
      </c>
      <c r="AI28" s="25"/>
      <c r="AJ28" s="25">
        <v>110.6</v>
      </c>
      <c r="AK28" s="25"/>
      <c r="AL28" s="25">
        <v>106.8</v>
      </c>
      <c r="AM28" s="25"/>
      <c r="AN28" s="25">
        <v>109</v>
      </c>
      <c r="AO28" s="25"/>
      <c r="AP28" s="25">
        <v>113.7</v>
      </c>
    </row>
    <row r="29" spans="1:42" hidden="1" x14ac:dyDescent="0.3">
      <c r="A29" s="25" t="s">
        <v>30</v>
      </c>
      <c r="B29" s="25">
        <v>2013</v>
      </c>
      <c r="C29" s="25" t="s">
        <v>43</v>
      </c>
      <c r="D29" s="26">
        <f>DATE(B29,MATCH(TRIM(C29),{"January","February","March","April","May","June","July","August","September","October","November","December"},0),1)</f>
        <v>41548</v>
      </c>
      <c r="E29" s="25">
        <v>116.3</v>
      </c>
      <c r="F29" s="25">
        <v>115.4</v>
      </c>
      <c r="G29" s="25">
        <v>112.6</v>
      </c>
      <c r="H29" s="25">
        <v>111.7</v>
      </c>
      <c r="I29" s="25">
        <v>107.7</v>
      </c>
      <c r="J29" s="25">
        <v>113.2</v>
      </c>
      <c r="K29" s="25">
        <v>164.9</v>
      </c>
      <c r="L29" s="25">
        <v>108.3</v>
      </c>
      <c r="M29" s="25">
        <v>103.9</v>
      </c>
      <c r="N29" s="25">
        <v>108.2</v>
      </c>
      <c r="O29" s="25">
        <v>111.1</v>
      </c>
      <c r="P29" s="25">
        <v>114.9</v>
      </c>
      <c r="Q29" s="25">
        <v>119.8</v>
      </c>
      <c r="R29" s="25"/>
      <c r="S29" s="25">
        <v>112.2</v>
      </c>
      <c r="T29" s="25"/>
      <c r="U29" s="25">
        <v>113.6</v>
      </c>
      <c r="V29" s="25">
        <v>112.3</v>
      </c>
      <c r="W29" s="25">
        <v>113.4</v>
      </c>
      <c r="X29" s="25"/>
      <c r="Y29" s="25" t="s">
        <v>32</v>
      </c>
      <c r="Z29" s="25">
        <v>111.6</v>
      </c>
      <c r="AA29" s="25"/>
      <c r="AB29" s="25">
        <v>110.4</v>
      </c>
      <c r="AC29" s="25"/>
      <c r="AD29" s="25">
        <v>108.9</v>
      </c>
      <c r="AE29" s="25"/>
      <c r="AF29" s="25">
        <v>109.3</v>
      </c>
      <c r="AG29" s="25"/>
      <c r="AH29" s="25">
        <v>108.3</v>
      </c>
      <c r="AI29" s="25"/>
      <c r="AJ29" s="25">
        <v>110.2</v>
      </c>
      <c r="AK29" s="25"/>
      <c r="AL29" s="25">
        <v>107.5</v>
      </c>
      <c r="AM29" s="25"/>
      <c r="AN29" s="25">
        <v>109.1</v>
      </c>
      <c r="AO29" s="25"/>
      <c r="AP29" s="25">
        <v>115.5</v>
      </c>
    </row>
    <row r="30" spans="1:42" hidden="1" x14ac:dyDescent="0.3">
      <c r="A30" s="25" t="s">
        <v>33</v>
      </c>
      <c r="B30" s="25">
        <v>2013</v>
      </c>
      <c r="C30" s="25" t="s">
        <v>43</v>
      </c>
      <c r="D30" s="26">
        <f>DATE(B30,MATCH(TRIM(C30),{"January","February","March","April","May","June","July","August","September","October","November","December"},0),1)</f>
        <v>41548</v>
      </c>
      <c r="E30" s="25">
        <v>118.9</v>
      </c>
      <c r="F30" s="25">
        <v>118.1</v>
      </c>
      <c r="G30" s="25">
        <v>114.5</v>
      </c>
      <c r="H30" s="25">
        <v>110.4</v>
      </c>
      <c r="I30" s="25">
        <v>102.3</v>
      </c>
      <c r="J30" s="25">
        <v>106.2</v>
      </c>
      <c r="K30" s="25">
        <v>183.5</v>
      </c>
      <c r="L30" s="25">
        <v>105.3</v>
      </c>
      <c r="M30" s="25">
        <v>100.2</v>
      </c>
      <c r="N30" s="25">
        <v>109.6</v>
      </c>
      <c r="O30" s="25">
        <v>111.4</v>
      </c>
      <c r="P30" s="25">
        <v>116</v>
      </c>
      <c r="Q30" s="25">
        <v>120.8</v>
      </c>
      <c r="R30" s="25"/>
      <c r="S30" s="25">
        <v>113.5</v>
      </c>
      <c r="T30" s="25"/>
      <c r="U30" s="25">
        <v>112.5</v>
      </c>
      <c r="V30" s="25">
        <v>109.7</v>
      </c>
      <c r="W30" s="25">
        <v>112</v>
      </c>
      <c r="X30" s="25"/>
      <c r="Y30" s="25">
        <v>110.5</v>
      </c>
      <c r="Z30" s="25">
        <v>109.7</v>
      </c>
      <c r="AA30" s="25"/>
      <c r="AB30" s="25">
        <v>110.2</v>
      </c>
      <c r="AC30" s="25"/>
      <c r="AD30" s="25">
        <v>108.2</v>
      </c>
      <c r="AE30" s="25"/>
      <c r="AF30" s="25">
        <v>109.7</v>
      </c>
      <c r="AG30" s="25"/>
      <c r="AH30" s="25">
        <v>108</v>
      </c>
      <c r="AI30" s="25"/>
      <c r="AJ30" s="25">
        <v>111.3</v>
      </c>
      <c r="AK30" s="25"/>
      <c r="AL30" s="25">
        <v>107.3</v>
      </c>
      <c r="AM30" s="25"/>
      <c r="AN30" s="25">
        <v>109.4</v>
      </c>
      <c r="AO30" s="25"/>
      <c r="AP30" s="25">
        <v>114</v>
      </c>
    </row>
    <row r="31" spans="1:42" hidden="1" x14ac:dyDescent="0.3">
      <c r="A31" s="25" t="s">
        <v>34</v>
      </c>
      <c r="B31" s="25">
        <v>2013</v>
      </c>
      <c r="C31" s="25" t="s">
        <v>43</v>
      </c>
      <c r="D31" s="26">
        <f>DATE(B31,MATCH(TRIM(C31),{"January","February","March","April","May","June","July","August","September","October","November","December"},0),1)</f>
        <v>41548</v>
      </c>
      <c r="E31" s="25">
        <v>117.1</v>
      </c>
      <c r="F31" s="25">
        <v>116.3</v>
      </c>
      <c r="G31" s="25">
        <v>113.3</v>
      </c>
      <c r="H31" s="25">
        <v>111.2</v>
      </c>
      <c r="I31" s="25">
        <v>105.7</v>
      </c>
      <c r="J31" s="25">
        <v>109.9</v>
      </c>
      <c r="K31" s="25">
        <v>171.2</v>
      </c>
      <c r="L31" s="25">
        <v>107.3</v>
      </c>
      <c r="M31" s="25">
        <v>102.7</v>
      </c>
      <c r="N31" s="25">
        <v>108.7</v>
      </c>
      <c r="O31" s="25">
        <v>111.2</v>
      </c>
      <c r="P31" s="25">
        <v>115.4</v>
      </c>
      <c r="Q31" s="25">
        <v>120.2</v>
      </c>
      <c r="R31" s="25"/>
      <c r="S31" s="25">
        <v>112.5</v>
      </c>
      <c r="T31" s="25"/>
      <c r="U31" s="25">
        <v>113.2</v>
      </c>
      <c r="V31" s="25">
        <v>111.2</v>
      </c>
      <c r="W31" s="25">
        <v>112.8</v>
      </c>
      <c r="X31" s="25"/>
      <c r="Y31" s="25">
        <v>110.5</v>
      </c>
      <c r="Z31" s="25">
        <v>110.9</v>
      </c>
      <c r="AA31" s="25"/>
      <c r="AB31" s="25">
        <v>110.3</v>
      </c>
      <c r="AC31" s="25"/>
      <c r="AD31" s="25">
        <v>108.6</v>
      </c>
      <c r="AE31" s="25"/>
      <c r="AF31" s="25">
        <v>109.5</v>
      </c>
      <c r="AG31" s="25"/>
      <c r="AH31" s="25">
        <v>108.1</v>
      </c>
      <c r="AI31" s="25"/>
      <c r="AJ31" s="25">
        <v>110.8</v>
      </c>
      <c r="AK31" s="25"/>
      <c r="AL31" s="25">
        <v>107.4</v>
      </c>
      <c r="AM31" s="25"/>
      <c r="AN31" s="25">
        <v>109.2</v>
      </c>
      <c r="AO31" s="25"/>
      <c r="AP31" s="25">
        <v>114.8</v>
      </c>
    </row>
    <row r="32" spans="1:42" hidden="1" x14ac:dyDescent="0.3">
      <c r="A32" s="25" t="s">
        <v>30</v>
      </c>
      <c r="B32" s="25">
        <v>2013</v>
      </c>
      <c r="C32" s="25" t="s">
        <v>44</v>
      </c>
      <c r="D32" s="26">
        <f>DATE(B32,MATCH(TRIM(C32),{"January","February","March","April","May","June","July","August","September","October","November","December"},0),1)</f>
        <v>41579</v>
      </c>
      <c r="E32" s="25">
        <v>117.3</v>
      </c>
      <c r="F32" s="25">
        <v>114.9</v>
      </c>
      <c r="G32" s="25">
        <v>116.2</v>
      </c>
      <c r="H32" s="25">
        <v>112.8</v>
      </c>
      <c r="I32" s="25">
        <v>108.9</v>
      </c>
      <c r="J32" s="25">
        <v>116.6</v>
      </c>
      <c r="K32" s="25">
        <v>178.1</v>
      </c>
      <c r="L32" s="25">
        <v>109.1</v>
      </c>
      <c r="M32" s="25">
        <v>103.6</v>
      </c>
      <c r="N32" s="25">
        <v>109</v>
      </c>
      <c r="O32" s="25">
        <v>111.8</v>
      </c>
      <c r="P32" s="25">
        <v>116</v>
      </c>
      <c r="Q32" s="25">
        <v>122.5</v>
      </c>
      <c r="R32" s="25"/>
      <c r="S32" s="25">
        <v>112.8</v>
      </c>
      <c r="T32" s="25"/>
      <c r="U32" s="25">
        <v>114.6</v>
      </c>
      <c r="V32" s="25">
        <v>113.1</v>
      </c>
      <c r="W32" s="25">
        <v>114.4</v>
      </c>
      <c r="X32" s="25"/>
      <c r="Y32" s="25" t="s">
        <v>32</v>
      </c>
      <c r="Z32" s="25">
        <v>112.6</v>
      </c>
      <c r="AA32" s="25"/>
      <c r="AB32" s="25">
        <v>111.3</v>
      </c>
      <c r="AC32" s="25"/>
      <c r="AD32" s="25">
        <v>109.7</v>
      </c>
      <c r="AE32" s="25"/>
      <c r="AF32" s="25">
        <v>109.6</v>
      </c>
      <c r="AG32" s="25"/>
      <c r="AH32" s="25">
        <v>108.7</v>
      </c>
      <c r="AI32" s="25"/>
      <c r="AJ32" s="25">
        <v>111</v>
      </c>
      <c r="AK32" s="25"/>
      <c r="AL32" s="25">
        <v>108.2</v>
      </c>
      <c r="AM32" s="25"/>
      <c r="AN32" s="25">
        <v>109.8</v>
      </c>
      <c r="AO32" s="25"/>
      <c r="AP32" s="25">
        <v>117.4</v>
      </c>
    </row>
    <row r="33" spans="1:42" hidden="1" x14ac:dyDescent="0.3">
      <c r="A33" s="25" t="s">
        <v>33</v>
      </c>
      <c r="B33" s="25">
        <v>2013</v>
      </c>
      <c r="C33" s="25" t="s">
        <v>45</v>
      </c>
      <c r="D33" s="26">
        <f>DATE(B33,MATCH(TRIM(C33),{"January","February","March","April","May","June","July","August","September","October","November","December"},0),1)</f>
        <v>41579</v>
      </c>
      <c r="E33" s="25">
        <v>119.8</v>
      </c>
      <c r="F33" s="25">
        <v>116.3</v>
      </c>
      <c r="G33" s="25">
        <v>122.6</v>
      </c>
      <c r="H33" s="25">
        <v>112</v>
      </c>
      <c r="I33" s="25">
        <v>103.2</v>
      </c>
      <c r="J33" s="25">
        <v>110</v>
      </c>
      <c r="K33" s="25">
        <v>192.8</v>
      </c>
      <c r="L33" s="25">
        <v>106.3</v>
      </c>
      <c r="M33" s="25">
        <v>99.5</v>
      </c>
      <c r="N33" s="25">
        <v>110.3</v>
      </c>
      <c r="O33" s="25">
        <v>111.8</v>
      </c>
      <c r="P33" s="25">
        <v>117.1</v>
      </c>
      <c r="Q33" s="25">
        <v>122.9</v>
      </c>
      <c r="R33" s="25"/>
      <c r="S33" s="25">
        <v>114.1</v>
      </c>
      <c r="T33" s="25"/>
      <c r="U33" s="25">
        <v>113.5</v>
      </c>
      <c r="V33" s="25">
        <v>110.3</v>
      </c>
      <c r="W33" s="25">
        <v>113</v>
      </c>
      <c r="X33" s="25"/>
      <c r="Y33" s="25">
        <v>111.1</v>
      </c>
      <c r="Z33" s="25">
        <v>110</v>
      </c>
      <c r="AA33" s="25"/>
      <c r="AB33" s="25">
        <v>110.9</v>
      </c>
      <c r="AC33" s="25"/>
      <c r="AD33" s="25">
        <v>108.6</v>
      </c>
      <c r="AE33" s="25"/>
      <c r="AF33" s="25">
        <v>109.5</v>
      </c>
      <c r="AG33" s="25"/>
      <c r="AH33" s="25">
        <v>108.5</v>
      </c>
      <c r="AI33" s="25"/>
      <c r="AJ33" s="25">
        <v>111.3</v>
      </c>
      <c r="AK33" s="25"/>
      <c r="AL33" s="25">
        <v>107.9</v>
      </c>
      <c r="AM33" s="25"/>
      <c r="AN33" s="25">
        <v>109.6</v>
      </c>
      <c r="AO33" s="25"/>
      <c r="AP33" s="25">
        <v>115</v>
      </c>
    </row>
    <row r="34" spans="1:42" hidden="1" x14ac:dyDescent="0.3">
      <c r="A34" s="25" t="s">
        <v>34</v>
      </c>
      <c r="B34" s="25">
        <v>2013</v>
      </c>
      <c r="C34" s="25" t="s">
        <v>45</v>
      </c>
      <c r="D34" s="26">
        <f>DATE(B34,MATCH(TRIM(C34),{"January","February","March","April","May","June","July","August","September","October","November","December"},0),1)</f>
        <v>41579</v>
      </c>
      <c r="E34" s="25">
        <v>118.1</v>
      </c>
      <c r="F34" s="25">
        <v>115.4</v>
      </c>
      <c r="G34" s="25">
        <v>118.7</v>
      </c>
      <c r="H34" s="25">
        <v>112.5</v>
      </c>
      <c r="I34" s="25">
        <v>106.8</v>
      </c>
      <c r="J34" s="25">
        <v>113.5</v>
      </c>
      <c r="K34" s="25">
        <v>183.1</v>
      </c>
      <c r="L34" s="25">
        <v>108.2</v>
      </c>
      <c r="M34" s="25">
        <v>102.2</v>
      </c>
      <c r="N34" s="25">
        <v>109.4</v>
      </c>
      <c r="O34" s="25">
        <v>111.8</v>
      </c>
      <c r="P34" s="25">
        <v>116.5</v>
      </c>
      <c r="Q34" s="25">
        <v>122.6</v>
      </c>
      <c r="R34" s="25"/>
      <c r="S34" s="25">
        <v>113.1</v>
      </c>
      <c r="T34" s="25"/>
      <c r="U34" s="25">
        <v>114.2</v>
      </c>
      <c r="V34" s="25">
        <v>111.9</v>
      </c>
      <c r="W34" s="25">
        <v>113.8</v>
      </c>
      <c r="X34" s="25"/>
      <c r="Y34" s="25">
        <v>111.1</v>
      </c>
      <c r="Z34" s="25">
        <v>111.6</v>
      </c>
      <c r="AA34" s="25"/>
      <c r="AB34" s="25">
        <v>111.1</v>
      </c>
      <c r="AC34" s="25"/>
      <c r="AD34" s="25">
        <v>109.3</v>
      </c>
      <c r="AE34" s="25"/>
      <c r="AF34" s="25">
        <v>109.5</v>
      </c>
      <c r="AG34" s="25"/>
      <c r="AH34" s="25">
        <v>108.6</v>
      </c>
      <c r="AI34" s="25"/>
      <c r="AJ34" s="25">
        <v>111.2</v>
      </c>
      <c r="AK34" s="25"/>
      <c r="AL34" s="25">
        <v>108.1</v>
      </c>
      <c r="AM34" s="25"/>
      <c r="AN34" s="25">
        <v>109.7</v>
      </c>
      <c r="AO34" s="25"/>
      <c r="AP34" s="25">
        <v>116.3</v>
      </c>
    </row>
    <row r="35" spans="1:42" hidden="1" x14ac:dyDescent="0.3">
      <c r="A35" s="25" t="s">
        <v>30</v>
      </c>
      <c r="B35" s="25">
        <v>2013</v>
      </c>
      <c r="C35" s="25" t="s">
        <v>46</v>
      </c>
      <c r="D35" s="26">
        <f>DATE(B35,MATCH(TRIM(C35),{"January","February","March","April","May","June","July","August","September","October","November","December"},0),1)</f>
        <v>41609</v>
      </c>
      <c r="E35" s="25">
        <v>118.4</v>
      </c>
      <c r="F35" s="25">
        <v>115.9</v>
      </c>
      <c r="G35" s="25">
        <v>120.4</v>
      </c>
      <c r="H35" s="25">
        <v>113.8</v>
      </c>
      <c r="I35" s="25">
        <v>109.5</v>
      </c>
      <c r="J35" s="25">
        <v>115.5</v>
      </c>
      <c r="K35" s="25">
        <v>145.69999999999999</v>
      </c>
      <c r="L35" s="25">
        <v>109.5</v>
      </c>
      <c r="M35" s="25">
        <v>102.9</v>
      </c>
      <c r="N35" s="25">
        <v>109.8</v>
      </c>
      <c r="O35" s="25">
        <v>112.1</v>
      </c>
      <c r="P35" s="25">
        <v>116.8</v>
      </c>
      <c r="Q35" s="25">
        <v>118.7</v>
      </c>
      <c r="R35" s="25"/>
      <c r="S35" s="25">
        <v>113.6</v>
      </c>
      <c r="T35" s="25"/>
      <c r="U35" s="25">
        <v>115.8</v>
      </c>
      <c r="V35" s="25">
        <v>114</v>
      </c>
      <c r="W35" s="25">
        <v>115.5</v>
      </c>
      <c r="X35" s="25"/>
      <c r="Y35" s="25" t="s">
        <v>32</v>
      </c>
      <c r="Z35" s="25">
        <v>112.8</v>
      </c>
      <c r="AA35" s="25"/>
      <c r="AB35" s="25">
        <v>112.1</v>
      </c>
      <c r="AC35" s="25"/>
      <c r="AD35" s="25">
        <v>110.1</v>
      </c>
      <c r="AE35" s="25"/>
      <c r="AF35" s="25">
        <v>109.9</v>
      </c>
      <c r="AG35" s="25"/>
      <c r="AH35" s="25">
        <v>109.2</v>
      </c>
      <c r="AI35" s="25"/>
      <c r="AJ35" s="25">
        <v>111.6</v>
      </c>
      <c r="AK35" s="25"/>
      <c r="AL35" s="25">
        <v>108.1</v>
      </c>
      <c r="AM35" s="25"/>
      <c r="AN35" s="25">
        <v>110.1</v>
      </c>
      <c r="AO35" s="25"/>
      <c r="AP35" s="25">
        <v>115.5</v>
      </c>
    </row>
    <row r="36" spans="1:42" hidden="1" x14ac:dyDescent="0.3">
      <c r="A36" s="25" t="s">
        <v>33</v>
      </c>
      <c r="B36" s="25">
        <v>2013</v>
      </c>
      <c r="C36" s="25" t="s">
        <v>46</v>
      </c>
      <c r="D36" s="26">
        <f>DATE(B36,MATCH(TRIM(C36),{"January","February","March","April","May","June","July","August","September","October","November","December"},0),1)</f>
        <v>41609</v>
      </c>
      <c r="E36" s="25">
        <v>120.5</v>
      </c>
      <c r="F36" s="25">
        <v>118.1</v>
      </c>
      <c r="G36" s="25">
        <v>128.5</v>
      </c>
      <c r="H36" s="25">
        <v>112.8</v>
      </c>
      <c r="I36" s="25">
        <v>103.4</v>
      </c>
      <c r="J36" s="25">
        <v>110.7</v>
      </c>
      <c r="K36" s="25">
        <v>144.80000000000001</v>
      </c>
      <c r="L36" s="25">
        <v>107.1</v>
      </c>
      <c r="M36" s="25">
        <v>98.6</v>
      </c>
      <c r="N36" s="25">
        <v>111.9</v>
      </c>
      <c r="O36" s="25">
        <v>112.1</v>
      </c>
      <c r="P36" s="25">
        <v>118.1</v>
      </c>
      <c r="Q36" s="25">
        <v>117.8</v>
      </c>
      <c r="R36" s="25"/>
      <c r="S36" s="25">
        <v>115</v>
      </c>
      <c r="T36" s="25"/>
      <c r="U36" s="25">
        <v>114.2</v>
      </c>
      <c r="V36" s="25">
        <v>110.9</v>
      </c>
      <c r="W36" s="25">
        <v>113.7</v>
      </c>
      <c r="X36" s="25"/>
      <c r="Y36" s="25">
        <v>110.7</v>
      </c>
      <c r="Z36" s="25">
        <v>110.4</v>
      </c>
      <c r="AA36" s="25"/>
      <c r="AB36" s="25">
        <v>111.3</v>
      </c>
      <c r="AC36" s="25"/>
      <c r="AD36" s="25">
        <v>109</v>
      </c>
      <c r="AE36" s="25"/>
      <c r="AF36" s="25">
        <v>109.7</v>
      </c>
      <c r="AG36" s="25"/>
      <c r="AH36" s="25">
        <v>108.9</v>
      </c>
      <c r="AI36" s="25"/>
      <c r="AJ36" s="25">
        <v>111.4</v>
      </c>
      <c r="AK36" s="25"/>
      <c r="AL36" s="25">
        <v>107.7</v>
      </c>
      <c r="AM36" s="25"/>
      <c r="AN36" s="25">
        <v>109.8</v>
      </c>
      <c r="AO36" s="25"/>
      <c r="AP36" s="25">
        <v>113.3</v>
      </c>
    </row>
    <row r="37" spans="1:42" hidden="1" x14ac:dyDescent="0.3">
      <c r="A37" s="25" t="s">
        <v>34</v>
      </c>
      <c r="B37" s="25">
        <v>2013</v>
      </c>
      <c r="C37" s="25" t="s">
        <v>46</v>
      </c>
      <c r="D37" s="26">
        <f>DATE(B37,MATCH(TRIM(C37),{"January","February","March","April","May","June","July","August","September","October","November","December"},0),1)</f>
        <v>41609</v>
      </c>
      <c r="E37" s="25">
        <v>119.1</v>
      </c>
      <c r="F37" s="25">
        <v>116.7</v>
      </c>
      <c r="G37" s="25">
        <v>123.5</v>
      </c>
      <c r="H37" s="25">
        <v>113.4</v>
      </c>
      <c r="I37" s="25">
        <v>107.3</v>
      </c>
      <c r="J37" s="25">
        <v>113.3</v>
      </c>
      <c r="K37" s="25">
        <v>145.4</v>
      </c>
      <c r="L37" s="25">
        <v>108.7</v>
      </c>
      <c r="M37" s="25">
        <v>101.5</v>
      </c>
      <c r="N37" s="25">
        <v>110.5</v>
      </c>
      <c r="O37" s="25">
        <v>112.1</v>
      </c>
      <c r="P37" s="25">
        <v>117.4</v>
      </c>
      <c r="Q37" s="25">
        <v>118.4</v>
      </c>
      <c r="R37" s="25"/>
      <c r="S37" s="25">
        <v>114</v>
      </c>
      <c r="T37" s="25"/>
      <c r="U37" s="25">
        <v>115.2</v>
      </c>
      <c r="V37" s="25">
        <v>112.7</v>
      </c>
      <c r="W37" s="25">
        <v>114.8</v>
      </c>
      <c r="X37" s="25"/>
      <c r="Y37" s="25">
        <v>110.7</v>
      </c>
      <c r="Z37" s="25">
        <v>111.9</v>
      </c>
      <c r="AA37" s="25"/>
      <c r="AB37" s="25">
        <v>111.7</v>
      </c>
      <c r="AC37" s="25"/>
      <c r="AD37" s="25">
        <v>109.7</v>
      </c>
      <c r="AE37" s="25"/>
      <c r="AF37" s="25">
        <v>109.8</v>
      </c>
      <c r="AG37" s="25"/>
      <c r="AH37" s="25">
        <v>109</v>
      </c>
      <c r="AI37" s="25"/>
      <c r="AJ37" s="25">
        <v>111.5</v>
      </c>
      <c r="AK37" s="25"/>
      <c r="AL37" s="25">
        <v>107.9</v>
      </c>
      <c r="AM37" s="25"/>
      <c r="AN37" s="25">
        <v>110</v>
      </c>
      <c r="AO37" s="25"/>
      <c r="AP37" s="25">
        <v>114.5</v>
      </c>
    </row>
    <row r="38" spans="1:42" hidden="1" x14ac:dyDescent="0.3">
      <c r="A38" s="25" t="s">
        <v>30</v>
      </c>
      <c r="B38" s="25">
        <v>2014</v>
      </c>
      <c r="C38" s="25" t="s">
        <v>31</v>
      </c>
      <c r="D38" s="26">
        <f>DATE(B38,MATCH(TRIM(C38),{"January","February","March","April","May","June","July","August","September","October","November","December"},0),1)</f>
        <v>41640</v>
      </c>
      <c r="E38" s="25">
        <v>118.9</v>
      </c>
      <c r="F38" s="25">
        <v>117.1</v>
      </c>
      <c r="G38" s="25">
        <v>120.5</v>
      </c>
      <c r="H38" s="25">
        <v>114.4</v>
      </c>
      <c r="I38" s="25">
        <v>109</v>
      </c>
      <c r="J38" s="25">
        <v>115.5</v>
      </c>
      <c r="K38" s="25">
        <v>123.9</v>
      </c>
      <c r="L38" s="25">
        <v>109.6</v>
      </c>
      <c r="M38" s="25">
        <v>101.8</v>
      </c>
      <c r="N38" s="25">
        <v>110.2</v>
      </c>
      <c r="O38" s="25">
        <v>112.4</v>
      </c>
      <c r="P38" s="25">
        <v>117.3</v>
      </c>
      <c r="Q38" s="25">
        <v>116</v>
      </c>
      <c r="R38" s="25"/>
      <c r="S38" s="25">
        <v>114</v>
      </c>
      <c r="T38" s="25"/>
      <c r="U38" s="25">
        <v>116.5</v>
      </c>
      <c r="V38" s="25">
        <v>114.5</v>
      </c>
      <c r="W38" s="25">
        <v>116.2</v>
      </c>
      <c r="X38" s="25"/>
      <c r="Y38" s="25" t="s">
        <v>32</v>
      </c>
      <c r="Z38" s="25">
        <v>113</v>
      </c>
      <c r="AA38" s="25"/>
      <c r="AB38" s="25">
        <v>112.6</v>
      </c>
      <c r="AC38" s="25"/>
      <c r="AD38" s="25">
        <v>110.6</v>
      </c>
      <c r="AE38" s="25"/>
      <c r="AF38" s="25">
        <v>110.5</v>
      </c>
      <c r="AG38" s="25"/>
      <c r="AH38" s="25">
        <v>109.6</v>
      </c>
      <c r="AI38" s="25"/>
      <c r="AJ38" s="25">
        <v>111.8</v>
      </c>
      <c r="AK38" s="25"/>
      <c r="AL38" s="25">
        <v>108.3</v>
      </c>
      <c r="AM38" s="25"/>
      <c r="AN38" s="25">
        <v>110.6</v>
      </c>
      <c r="AO38" s="25"/>
      <c r="AP38" s="25">
        <v>114.2</v>
      </c>
    </row>
    <row r="39" spans="1:42" hidden="1" x14ac:dyDescent="0.3">
      <c r="A39" s="25" t="s">
        <v>33</v>
      </c>
      <c r="B39" s="25">
        <v>2014</v>
      </c>
      <c r="C39" s="25" t="s">
        <v>31</v>
      </c>
      <c r="D39" s="26">
        <f>DATE(B39,MATCH(TRIM(C39),{"January","February","March","April","May","June","July","August","September","October","November","December"},0),1)</f>
        <v>41640</v>
      </c>
      <c r="E39" s="25">
        <v>121.2</v>
      </c>
      <c r="F39" s="25">
        <v>122</v>
      </c>
      <c r="G39" s="25">
        <v>129.9</v>
      </c>
      <c r="H39" s="25">
        <v>113.6</v>
      </c>
      <c r="I39" s="25">
        <v>102.9</v>
      </c>
      <c r="J39" s="25">
        <v>112.1</v>
      </c>
      <c r="K39" s="25">
        <v>118.9</v>
      </c>
      <c r="L39" s="25">
        <v>107.5</v>
      </c>
      <c r="M39" s="25">
        <v>96.9</v>
      </c>
      <c r="N39" s="25">
        <v>112.7</v>
      </c>
      <c r="O39" s="25">
        <v>112.1</v>
      </c>
      <c r="P39" s="25">
        <v>119</v>
      </c>
      <c r="Q39" s="25">
        <v>115.5</v>
      </c>
      <c r="R39" s="25"/>
      <c r="S39" s="25">
        <v>115.7</v>
      </c>
      <c r="T39" s="25"/>
      <c r="U39" s="25">
        <v>114.8</v>
      </c>
      <c r="V39" s="25">
        <v>111.3</v>
      </c>
      <c r="W39" s="25">
        <v>114.3</v>
      </c>
      <c r="X39" s="25"/>
      <c r="Y39" s="25">
        <v>111.6</v>
      </c>
      <c r="Z39" s="25">
        <v>111</v>
      </c>
      <c r="AA39" s="25"/>
      <c r="AB39" s="25">
        <v>111.9</v>
      </c>
      <c r="AC39" s="25"/>
      <c r="AD39" s="25">
        <v>109.7</v>
      </c>
      <c r="AE39" s="25"/>
      <c r="AF39" s="25">
        <v>110.8</v>
      </c>
      <c r="AG39" s="25"/>
      <c r="AH39" s="25">
        <v>109.8</v>
      </c>
      <c r="AI39" s="25"/>
      <c r="AJ39" s="25">
        <v>111.5</v>
      </c>
      <c r="AK39" s="25"/>
      <c r="AL39" s="25">
        <v>108</v>
      </c>
      <c r="AM39" s="25"/>
      <c r="AN39" s="25">
        <v>110.5</v>
      </c>
      <c r="AO39" s="25"/>
      <c r="AP39" s="25">
        <v>112.9</v>
      </c>
    </row>
    <row r="40" spans="1:42" hidden="1" x14ac:dyDescent="0.3">
      <c r="A40" s="25" t="s">
        <v>34</v>
      </c>
      <c r="B40" s="25">
        <v>2014</v>
      </c>
      <c r="C40" s="25" t="s">
        <v>31</v>
      </c>
      <c r="D40" s="26">
        <f>DATE(B40,MATCH(TRIM(C40),{"January","February","March","April","May","June","July","August","September","October","November","December"},0),1)</f>
        <v>41640</v>
      </c>
      <c r="E40" s="25">
        <v>119.6</v>
      </c>
      <c r="F40" s="25">
        <v>118.8</v>
      </c>
      <c r="G40" s="25">
        <v>124.1</v>
      </c>
      <c r="H40" s="25">
        <v>114.1</v>
      </c>
      <c r="I40" s="25">
        <v>106.8</v>
      </c>
      <c r="J40" s="25">
        <v>113.9</v>
      </c>
      <c r="K40" s="25">
        <v>122.2</v>
      </c>
      <c r="L40" s="25">
        <v>108.9</v>
      </c>
      <c r="M40" s="25">
        <v>100.2</v>
      </c>
      <c r="N40" s="25">
        <v>111</v>
      </c>
      <c r="O40" s="25">
        <v>112.3</v>
      </c>
      <c r="P40" s="25">
        <v>118.1</v>
      </c>
      <c r="Q40" s="25">
        <v>115.8</v>
      </c>
      <c r="R40" s="25"/>
      <c r="S40" s="25">
        <v>114.5</v>
      </c>
      <c r="T40" s="25"/>
      <c r="U40" s="25">
        <v>115.8</v>
      </c>
      <c r="V40" s="25">
        <v>113.2</v>
      </c>
      <c r="W40" s="25">
        <v>115.4</v>
      </c>
      <c r="X40" s="25"/>
      <c r="Y40" s="25">
        <v>111.6</v>
      </c>
      <c r="Z40" s="25">
        <v>112.2</v>
      </c>
      <c r="AA40" s="25"/>
      <c r="AB40" s="25">
        <v>112.3</v>
      </c>
      <c r="AC40" s="25"/>
      <c r="AD40" s="25">
        <v>110.3</v>
      </c>
      <c r="AE40" s="25"/>
      <c r="AF40" s="25">
        <v>110.7</v>
      </c>
      <c r="AG40" s="25"/>
      <c r="AH40" s="25">
        <v>109.7</v>
      </c>
      <c r="AI40" s="25"/>
      <c r="AJ40" s="25">
        <v>111.6</v>
      </c>
      <c r="AK40" s="25"/>
      <c r="AL40" s="25">
        <v>108.2</v>
      </c>
      <c r="AM40" s="25"/>
      <c r="AN40" s="25">
        <v>110.6</v>
      </c>
      <c r="AO40" s="25"/>
      <c r="AP40" s="25">
        <v>113.6</v>
      </c>
    </row>
    <row r="41" spans="1:42" hidden="1" x14ac:dyDescent="0.3">
      <c r="A41" s="25" t="s">
        <v>30</v>
      </c>
      <c r="B41" s="25">
        <v>2014</v>
      </c>
      <c r="C41" s="25" t="s">
        <v>35</v>
      </c>
      <c r="D41" s="26">
        <f>DATE(B41,MATCH(TRIM(C41),{"January","February","March","April","May","June","July","August","September","October","November","December"},0),1)</f>
        <v>41671</v>
      </c>
      <c r="E41" s="25">
        <v>119.4</v>
      </c>
      <c r="F41" s="25">
        <v>117.7</v>
      </c>
      <c r="G41" s="25">
        <v>121.2</v>
      </c>
      <c r="H41" s="25">
        <v>115</v>
      </c>
      <c r="I41" s="25">
        <v>109</v>
      </c>
      <c r="J41" s="25">
        <v>116.6</v>
      </c>
      <c r="K41" s="25">
        <v>116</v>
      </c>
      <c r="L41" s="25">
        <v>109.8</v>
      </c>
      <c r="M41" s="25">
        <v>101.1</v>
      </c>
      <c r="N41" s="25">
        <v>110.4</v>
      </c>
      <c r="O41" s="25">
        <v>112.9</v>
      </c>
      <c r="P41" s="25">
        <v>117.8</v>
      </c>
      <c r="Q41" s="25">
        <v>115.3</v>
      </c>
      <c r="R41" s="25"/>
      <c r="S41" s="25">
        <v>114.2</v>
      </c>
      <c r="T41" s="25"/>
      <c r="U41" s="25">
        <v>117.1</v>
      </c>
      <c r="V41" s="25">
        <v>114.5</v>
      </c>
      <c r="W41" s="25">
        <v>116.7</v>
      </c>
      <c r="X41" s="25"/>
      <c r="Y41" s="25" t="s">
        <v>32</v>
      </c>
      <c r="Z41" s="25">
        <v>113.2</v>
      </c>
      <c r="AA41" s="25"/>
      <c r="AB41" s="25">
        <v>112.9</v>
      </c>
      <c r="AC41" s="25"/>
      <c r="AD41" s="25">
        <v>110.9</v>
      </c>
      <c r="AE41" s="25"/>
      <c r="AF41" s="25">
        <v>110.8</v>
      </c>
      <c r="AG41" s="25"/>
      <c r="AH41" s="25">
        <v>109.9</v>
      </c>
      <c r="AI41" s="25"/>
      <c r="AJ41" s="25">
        <v>112</v>
      </c>
      <c r="AK41" s="25"/>
      <c r="AL41" s="25">
        <v>108.7</v>
      </c>
      <c r="AM41" s="25"/>
      <c r="AN41" s="25">
        <v>110.9</v>
      </c>
      <c r="AO41" s="25"/>
      <c r="AP41" s="25">
        <v>114</v>
      </c>
    </row>
    <row r="42" spans="1:42" hidden="1" x14ac:dyDescent="0.3">
      <c r="A42" s="25" t="s">
        <v>33</v>
      </c>
      <c r="B42" s="25">
        <v>2014</v>
      </c>
      <c r="C42" s="25" t="s">
        <v>35</v>
      </c>
      <c r="D42" s="26">
        <f>DATE(B42,MATCH(TRIM(C42),{"January","February","March","April","May","June","July","August","September","October","November","December"},0),1)</f>
        <v>41671</v>
      </c>
      <c r="E42" s="25">
        <v>121.9</v>
      </c>
      <c r="F42" s="25">
        <v>122</v>
      </c>
      <c r="G42" s="25">
        <v>124.5</v>
      </c>
      <c r="H42" s="25">
        <v>115.2</v>
      </c>
      <c r="I42" s="25">
        <v>102.5</v>
      </c>
      <c r="J42" s="25">
        <v>114.1</v>
      </c>
      <c r="K42" s="25">
        <v>111.5</v>
      </c>
      <c r="L42" s="25">
        <v>108.2</v>
      </c>
      <c r="M42" s="25">
        <v>95.4</v>
      </c>
      <c r="N42" s="25">
        <v>113.5</v>
      </c>
      <c r="O42" s="25">
        <v>112.1</v>
      </c>
      <c r="P42" s="25">
        <v>119.9</v>
      </c>
      <c r="Q42" s="25">
        <v>115.2</v>
      </c>
      <c r="R42" s="25"/>
      <c r="S42" s="25">
        <v>116.2</v>
      </c>
      <c r="T42" s="25"/>
      <c r="U42" s="25">
        <v>115.3</v>
      </c>
      <c r="V42" s="25">
        <v>111.7</v>
      </c>
      <c r="W42" s="25">
        <v>114.7</v>
      </c>
      <c r="X42" s="25"/>
      <c r="Y42" s="25">
        <v>112.5</v>
      </c>
      <c r="Z42" s="25">
        <v>111.1</v>
      </c>
      <c r="AA42" s="25"/>
      <c r="AB42" s="25">
        <v>112.6</v>
      </c>
      <c r="AC42" s="25"/>
      <c r="AD42" s="25">
        <v>110.4</v>
      </c>
      <c r="AE42" s="25"/>
      <c r="AF42" s="25">
        <v>111.3</v>
      </c>
      <c r="AG42" s="25"/>
      <c r="AH42" s="25">
        <v>110.3</v>
      </c>
      <c r="AI42" s="25"/>
      <c r="AJ42" s="25">
        <v>111.6</v>
      </c>
      <c r="AK42" s="25"/>
      <c r="AL42" s="25">
        <v>108.7</v>
      </c>
      <c r="AM42" s="25"/>
      <c r="AN42" s="25">
        <v>111</v>
      </c>
      <c r="AO42" s="25"/>
      <c r="AP42" s="25">
        <v>113.1</v>
      </c>
    </row>
    <row r="43" spans="1:42" hidden="1" x14ac:dyDescent="0.3">
      <c r="A43" s="25" t="s">
        <v>34</v>
      </c>
      <c r="B43" s="25">
        <v>2014</v>
      </c>
      <c r="C43" s="25" t="s">
        <v>35</v>
      </c>
      <c r="D43" s="26">
        <f>DATE(B43,MATCH(TRIM(C43),{"January","February","March","April","May","June","July","August","September","October","November","December"},0),1)</f>
        <v>41671</v>
      </c>
      <c r="E43" s="25">
        <v>120.2</v>
      </c>
      <c r="F43" s="25">
        <v>119.2</v>
      </c>
      <c r="G43" s="25">
        <v>122.5</v>
      </c>
      <c r="H43" s="25">
        <v>115.1</v>
      </c>
      <c r="I43" s="25">
        <v>106.6</v>
      </c>
      <c r="J43" s="25">
        <v>115.4</v>
      </c>
      <c r="K43" s="25">
        <v>114.5</v>
      </c>
      <c r="L43" s="25">
        <v>109.3</v>
      </c>
      <c r="M43" s="25">
        <v>99.2</v>
      </c>
      <c r="N43" s="25">
        <v>111.4</v>
      </c>
      <c r="O43" s="25">
        <v>112.6</v>
      </c>
      <c r="P43" s="25">
        <v>118.8</v>
      </c>
      <c r="Q43" s="25">
        <v>115.3</v>
      </c>
      <c r="R43" s="25"/>
      <c r="S43" s="25">
        <v>114.7</v>
      </c>
      <c r="T43" s="25"/>
      <c r="U43" s="25">
        <v>116.4</v>
      </c>
      <c r="V43" s="25">
        <v>113.3</v>
      </c>
      <c r="W43" s="25">
        <v>115.9</v>
      </c>
      <c r="X43" s="25"/>
      <c r="Y43" s="25">
        <v>112.5</v>
      </c>
      <c r="Z43" s="25">
        <v>112.4</v>
      </c>
      <c r="AA43" s="25"/>
      <c r="AB43" s="25">
        <v>112.8</v>
      </c>
      <c r="AC43" s="25"/>
      <c r="AD43" s="25">
        <v>110.7</v>
      </c>
      <c r="AE43" s="25"/>
      <c r="AF43" s="25">
        <v>111.1</v>
      </c>
      <c r="AG43" s="25"/>
      <c r="AH43" s="25">
        <v>110.1</v>
      </c>
      <c r="AI43" s="25"/>
      <c r="AJ43" s="25">
        <v>111.8</v>
      </c>
      <c r="AK43" s="25"/>
      <c r="AL43" s="25">
        <v>108.7</v>
      </c>
      <c r="AM43" s="25"/>
      <c r="AN43" s="25">
        <v>110.9</v>
      </c>
      <c r="AO43" s="25"/>
      <c r="AP43" s="25">
        <v>113.6</v>
      </c>
    </row>
    <row r="44" spans="1:42" hidden="1" x14ac:dyDescent="0.3">
      <c r="A44" s="25" t="s">
        <v>30</v>
      </c>
      <c r="B44" s="25">
        <v>2014</v>
      </c>
      <c r="C44" s="25" t="s">
        <v>36</v>
      </c>
      <c r="D44" s="26">
        <f>DATE(B44,MATCH(TRIM(C44),{"January","February","March","April","May","June","July","August","September","October","November","December"},0),1)</f>
        <v>41699</v>
      </c>
      <c r="E44" s="25">
        <v>120.1</v>
      </c>
      <c r="F44" s="25">
        <v>118.1</v>
      </c>
      <c r="G44" s="25">
        <v>120.7</v>
      </c>
      <c r="H44" s="25">
        <v>116.1</v>
      </c>
      <c r="I44" s="25">
        <v>109.3</v>
      </c>
      <c r="J44" s="25">
        <v>119.6</v>
      </c>
      <c r="K44" s="25">
        <v>117.9</v>
      </c>
      <c r="L44" s="25">
        <v>110.2</v>
      </c>
      <c r="M44" s="25">
        <v>101.2</v>
      </c>
      <c r="N44" s="25">
        <v>110.7</v>
      </c>
      <c r="O44" s="25">
        <v>113</v>
      </c>
      <c r="P44" s="25">
        <v>118.3</v>
      </c>
      <c r="Q44" s="25">
        <v>116.2</v>
      </c>
      <c r="R44" s="25"/>
      <c r="S44" s="25">
        <v>114.6</v>
      </c>
      <c r="T44" s="25"/>
      <c r="U44" s="25">
        <v>117.5</v>
      </c>
      <c r="V44" s="25">
        <v>114.9</v>
      </c>
      <c r="W44" s="25">
        <v>117.2</v>
      </c>
      <c r="X44" s="25"/>
      <c r="Y44" s="25" t="s">
        <v>32</v>
      </c>
      <c r="Z44" s="25">
        <v>113.4</v>
      </c>
      <c r="AA44" s="25"/>
      <c r="AB44" s="25">
        <v>113.4</v>
      </c>
      <c r="AC44" s="25"/>
      <c r="AD44" s="25">
        <v>111.4</v>
      </c>
      <c r="AE44" s="25"/>
      <c r="AF44" s="25">
        <v>111.2</v>
      </c>
      <c r="AG44" s="25"/>
      <c r="AH44" s="25">
        <v>110.2</v>
      </c>
      <c r="AI44" s="25"/>
      <c r="AJ44" s="25">
        <v>112.4</v>
      </c>
      <c r="AK44" s="25"/>
      <c r="AL44" s="25">
        <v>108.9</v>
      </c>
      <c r="AM44" s="25"/>
      <c r="AN44" s="25">
        <v>111.3</v>
      </c>
      <c r="AO44" s="25"/>
      <c r="AP44" s="25">
        <v>114.6</v>
      </c>
    </row>
    <row r="45" spans="1:42" hidden="1" x14ac:dyDescent="0.3">
      <c r="A45" s="25" t="s">
        <v>33</v>
      </c>
      <c r="B45" s="25">
        <v>2014</v>
      </c>
      <c r="C45" s="25" t="s">
        <v>36</v>
      </c>
      <c r="D45" s="26">
        <f>DATE(B45,MATCH(TRIM(C45),{"January","February","March","April","May","June","July","August","September","October","November","December"},0),1)</f>
        <v>41699</v>
      </c>
      <c r="E45" s="25">
        <v>122.1</v>
      </c>
      <c r="F45" s="25">
        <v>121.4</v>
      </c>
      <c r="G45" s="25">
        <v>121.5</v>
      </c>
      <c r="H45" s="25">
        <v>116.2</v>
      </c>
      <c r="I45" s="25">
        <v>102.8</v>
      </c>
      <c r="J45" s="25">
        <v>117.7</v>
      </c>
      <c r="K45" s="25">
        <v>113.3</v>
      </c>
      <c r="L45" s="25">
        <v>108.9</v>
      </c>
      <c r="M45" s="25">
        <v>96.3</v>
      </c>
      <c r="N45" s="25">
        <v>114.1</v>
      </c>
      <c r="O45" s="25">
        <v>112.2</v>
      </c>
      <c r="P45" s="25">
        <v>120.5</v>
      </c>
      <c r="Q45" s="25">
        <v>116</v>
      </c>
      <c r="R45" s="25"/>
      <c r="S45" s="25">
        <v>116.7</v>
      </c>
      <c r="T45" s="25"/>
      <c r="U45" s="25">
        <v>115.8</v>
      </c>
      <c r="V45" s="25">
        <v>112.1</v>
      </c>
      <c r="W45" s="25">
        <v>115.2</v>
      </c>
      <c r="X45" s="25"/>
      <c r="Y45" s="25">
        <v>113.2</v>
      </c>
      <c r="Z45" s="25">
        <v>110.9</v>
      </c>
      <c r="AA45" s="25"/>
      <c r="AB45" s="25">
        <v>113</v>
      </c>
      <c r="AC45" s="25"/>
      <c r="AD45" s="25">
        <v>110.8</v>
      </c>
      <c r="AE45" s="25"/>
      <c r="AF45" s="25">
        <v>111.6</v>
      </c>
      <c r="AG45" s="25"/>
      <c r="AH45" s="25">
        <v>110.9</v>
      </c>
      <c r="AI45" s="25"/>
      <c r="AJ45" s="25">
        <v>111.8</v>
      </c>
      <c r="AK45" s="25"/>
      <c r="AL45" s="25">
        <v>109.2</v>
      </c>
      <c r="AM45" s="25"/>
      <c r="AN45" s="25">
        <v>111.4</v>
      </c>
      <c r="AO45" s="25"/>
      <c r="AP45" s="25">
        <v>113.7</v>
      </c>
    </row>
    <row r="46" spans="1:42" hidden="1" x14ac:dyDescent="0.3">
      <c r="A46" s="25" t="s">
        <v>34</v>
      </c>
      <c r="B46" s="25">
        <v>2014</v>
      </c>
      <c r="C46" s="25" t="s">
        <v>36</v>
      </c>
      <c r="D46" s="26">
        <f>DATE(B46,MATCH(TRIM(C46),{"January","February","March","April","May","June","July","August","September","October","November","December"},0),1)</f>
        <v>41699</v>
      </c>
      <c r="E46" s="25">
        <v>120.7</v>
      </c>
      <c r="F46" s="25">
        <v>119.3</v>
      </c>
      <c r="G46" s="25">
        <v>121</v>
      </c>
      <c r="H46" s="25">
        <v>116.1</v>
      </c>
      <c r="I46" s="25">
        <v>106.9</v>
      </c>
      <c r="J46" s="25">
        <v>118.7</v>
      </c>
      <c r="K46" s="25">
        <v>116.3</v>
      </c>
      <c r="L46" s="25">
        <v>109.8</v>
      </c>
      <c r="M46" s="25">
        <v>99.6</v>
      </c>
      <c r="N46" s="25">
        <v>111.8</v>
      </c>
      <c r="O46" s="25">
        <v>112.7</v>
      </c>
      <c r="P46" s="25">
        <v>119.3</v>
      </c>
      <c r="Q46" s="25">
        <v>116.1</v>
      </c>
      <c r="R46" s="25"/>
      <c r="S46" s="25">
        <v>115.2</v>
      </c>
      <c r="T46" s="25"/>
      <c r="U46" s="25">
        <v>116.8</v>
      </c>
      <c r="V46" s="25">
        <v>113.7</v>
      </c>
      <c r="W46" s="25">
        <v>116.4</v>
      </c>
      <c r="X46" s="25"/>
      <c r="Y46" s="25">
        <v>113.2</v>
      </c>
      <c r="Z46" s="25">
        <v>112.5</v>
      </c>
      <c r="AA46" s="25"/>
      <c r="AB46" s="25">
        <v>113.2</v>
      </c>
      <c r="AC46" s="25"/>
      <c r="AD46" s="25">
        <v>111.2</v>
      </c>
      <c r="AE46" s="25"/>
      <c r="AF46" s="25">
        <v>111.4</v>
      </c>
      <c r="AG46" s="25"/>
      <c r="AH46" s="25">
        <v>110.6</v>
      </c>
      <c r="AI46" s="25"/>
      <c r="AJ46" s="25">
        <v>112</v>
      </c>
      <c r="AK46" s="25"/>
      <c r="AL46" s="25">
        <v>109</v>
      </c>
      <c r="AM46" s="25"/>
      <c r="AN46" s="25">
        <v>111.3</v>
      </c>
      <c r="AO46" s="25"/>
      <c r="AP46" s="25">
        <v>114.2</v>
      </c>
    </row>
    <row r="47" spans="1:42" hidden="1" x14ac:dyDescent="0.3">
      <c r="A47" s="25" t="s">
        <v>30</v>
      </c>
      <c r="B47" s="25">
        <v>2014</v>
      </c>
      <c r="C47" s="25" t="s">
        <v>37</v>
      </c>
      <c r="D47" s="26">
        <f>DATE(B47,MATCH(TRIM(C47),{"January","February","March","April","May","June","July","August","September","October","November","December"},0),1)</f>
        <v>41730</v>
      </c>
      <c r="E47" s="25">
        <v>120.2</v>
      </c>
      <c r="F47" s="25">
        <v>118.9</v>
      </c>
      <c r="G47" s="25">
        <v>118.1</v>
      </c>
      <c r="H47" s="25">
        <v>117</v>
      </c>
      <c r="I47" s="25">
        <v>109.7</v>
      </c>
      <c r="J47" s="25">
        <v>125.5</v>
      </c>
      <c r="K47" s="25">
        <v>120.5</v>
      </c>
      <c r="L47" s="25">
        <v>111</v>
      </c>
      <c r="M47" s="25">
        <v>102.6</v>
      </c>
      <c r="N47" s="25">
        <v>111.2</v>
      </c>
      <c r="O47" s="25">
        <v>113.5</v>
      </c>
      <c r="P47" s="25">
        <v>118.7</v>
      </c>
      <c r="Q47" s="25">
        <v>117.2</v>
      </c>
      <c r="R47" s="25"/>
      <c r="S47" s="25">
        <v>115.4</v>
      </c>
      <c r="T47" s="25"/>
      <c r="U47" s="25">
        <v>118.1</v>
      </c>
      <c r="V47" s="25">
        <v>116.1</v>
      </c>
      <c r="W47" s="25">
        <v>117.8</v>
      </c>
      <c r="X47" s="25"/>
      <c r="Y47" s="25" t="s">
        <v>32</v>
      </c>
      <c r="Z47" s="25">
        <v>113.4</v>
      </c>
      <c r="AA47" s="25"/>
      <c r="AB47" s="25">
        <v>113.7</v>
      </c>
      <c r="AC47" s="25"/>
      <c r="AD47" s="25">
        <v>111.8</v>
      </c>
      <c r="AE47" s="25"/>
      <c r="AF47" s="25">
        <v>111.2</v>
      </c>
      <c r="AG47" s="25"/>
      <c r="AH47" s="25">
        <v>110.5</v>
      </c>
      <c r="AI47" s="25"/>
      <c r="AJ47" s="25">
        <v>113</v>
      </c>
      <c r="AK47" s="25"/>
      <c r="AL47" s="25">
        <v>108.9</v>
      </c>
      <c r="AM47" s="25"/>
      <c r="AN47" s="25">
        <v>111.5</v>
      </c>
      <c r="AO47" s="25"/>
      <c r="AP47" s="25">
        <v>115.4</v>
      </c>
    </row>
    <row r="48" spans="1:42" hidden="1" x14ac:dyDescent="0.3">
      <c r="A48" s="25" t="s">
        <v>33</v>
      </c>
      <c r="B48" s="25">
        <v>2014</v>
      </c>
      <c r="C48" s="25" t="s">
        <v>37</v>
      </c>
      <c r="D48" s="26">
        <f>DATE(B48,MATCH(TRIM(C48),{"January","February","March","April","May","June","July","August","September","October","November","December"},0),1)</f>
        <v>41730</v>
      </c>
      <c r="E48" s="25">
        <v>122.5</v>
      </c>
      <c r="F48" s="25">
        <v>121.7</v>
      </c>
      <c r="G48" s="25">
        <v>113.3</v>
      </c>
      <c r="H48" s="25">
        <v>117</v>
      </c>
      <c r="I48" s="25">
        <v>103.1</v>
      </c>
      <c r="J48" s="25">
        <v>126.7</v>
      </c>
      <c r="K48" s="25">
        <v>121.2</v>
      </c>
      <c r="L48" s="25">
        <v>111</v>
      </c>
      <c r="M48" s="25">
        <v>100.3</v>
      </c>
      <c r="N48" s="25">
        <v>115.3</v>
      </c>
      <c r="O48" s="25">
        <v>112.7</v>
      </c>
      <c r="P48" s="25">
        <v>121</v>
      </c>
      <c r="Q48" s="25">
        <v>118.2</v>
      </c>
      <c r="R48" s="25"/>
      <c r="S48" s="25">
        <v>117.6</v>
      </c>
      <c r="T48" s="25"/>
      <c r="U48" s="25">
        <v>116.3</v>
      </c>
      <c r="V48" s="25">
        <v>112.5</v>
      </c>
      <c r="W48" s="25">
        <v>115.7</v>
      </c>
      <c r="X48" s="25"/>
      <c r="Y48" s="25">
        <v>113.9</v>
      </c>
      <c r="Z48" s="25">
        <v>110.9</v>
      </c>
      <c r="AA48" s="25"/>
      <c r="AB48" s="25">
        <v>113.4</v>
      </c>
      <c r="AC48" s="25"/>
      <c r="AD48" s="25">
        <v>111</v>
      </c>
      <c r="AE48" s="25"/>
      <c r="AF48" s="25">
        <v>111.2</v>
      </c>
      <c r="AG48" s="25"/>
      <c r="AH48" s="25">
        <v>111.2</v>
      </c>
      <c r="AI48" s="25"/>
      <c r="AJ48" s="25">
        <v>112.5</v>
      </c>
      <c r="AK48" s="25"/>
      <c r="AL48" s="25">
        <v>109.1</v>
      </c>
      <c r="AM48" s="25"/>
      <c r="AN48" s="25">
        <v>111.4</v>
      </c>
      <c r="AO48" s="25"/>
      <c r="AP48" s="25">
        <v>114.7</v>
      </c>
    </row>
    <row r="49" spans="1:42" hidden="1" x14ac:dyDescent="0.3">
      <c r="A49" s="25" t="s">
        <v>34</v>
      </c>
      <c r="B49" s="25">
        <v>2014</v>
      </c>
      <c r="C49" s="25" t="s">
        <v>37</v>
      </c>
      <c r="D49" s="26">
        <f>DATE(B49,MATCH(TRIM(C49),{"January","February","March","April","May","June","July","August","September","October","November","December"},0),1)</f>
        <v>41730</v>
      </c>
      <c r="E49" s="25">
        <v>120.9</v>
      </c>
      <c r="F49" s="25">
        <v>119.9</v>
      </c>
      <c r="G49" s="25">
        <v>116.2</v>
      </c>
      <c r="H49" s="25">
        <v>117</v>
      </c>
      <c r="I49" s="25">
        <v>107.3</v>
      </c>
      <c r="J49" s="25">
        <v>126.1</v>
      </c>
      <c r="K49" s="25">
        <v>120.7</v>
      </c>
      <c r="L49" s="25">
        <v>111</v>
      </c>
      <c r="M49" s="25">
        <v>101.8</v>
      </c>
      <c r="N49" s="25">
        <v>112.6</v>
      </c>
      <c r="O49" s="25">
        <v>113.2</v>
      </c>
      <c r="P49" s="25">
        <v>119.8</v>
      </c>
      <c r="Q49" s="25">
        <v>117.6</v>
      </c>
      <c r="R49" s="25"/>
      <c r="S49" s="25">
        <v>116</v>
      </c>
      <c r="T49" s="25"/>
      <c r="U49" s="25">
        <v>117.4</v>
      </c>
      <c r="V49" s="25">
        <v>114.6</v>
      </c>
      <c r="W49" s="25">
        <v>117</v>
      </c>
      <c r="X49" s="25"/>
      <c r="Y49" s="25">
        <v>113.9</v>
      </c>
      <c r="Z49" s="25">
        <v>112.5</v>
      </c>
      <c r="AA49" s="25"/>
      <c r="AB49" s="25">
        <v>113.6</v>
      </c>
      <c r="AC49" s="25"/>
      <c r="AD49" s="25">
        <v>111.5</v>
      </c>
      <c r="AE49" s="25"/>
      <c r="AF49" s="25">
        <v>111.2</v>
      </c>
      <c r="AG49" s="25"/>
      <c r="AH49" s="25">
        <v>110.9</v>
      </c>
      <c r="AI49" s="25"/>
      <c r="AJ49" s="25">
        <v>112.7</v>
      </c>
      <c r="AK49" s="25"/>
      <c r="AL49" s="25">
        <v>109</v>
      </c>
      <c r="AM49" s="25"/>
      <c r="AN49" s="25">
        <v>111.5</v>
      </c>
      <c r="AO49" s="25"/>
      <c r="AP49" s="25">
        <v>115.1</v>
      </c>
    </row>
    <row r="50" spans="1:42" hidden="1" x14ac:dyDescent="0.3">
      <c r="A50" s="25" t="s">
        <v>30</v>
      </c>
      <c r="B50" s="25">
        <v>2014</v>
      </c>
      <c r="C50" s="25" t="s">
        <v>38</v>
      </c>
      <c r="D50" s="26">
        <f>DATE(B50,MATCH(TRIM(C50),{"January","February","March","April","May","June","July","August","September","October","November","December"},0),1)</f>
        <v>41760</v>
      </c>
      <c r="E50" s="25">
        <v>120.3</v>
      </c>
      <c r="F50" s="25">
        <v>120.2</v>
      </c>
      <c r="G50" s="25">
        <v>116.9</v>
      </c>
      <c r="H50" s="25">
        <v>118</v>
      </c>
      <c r="I50" s="25">
        <v>110.1</v>
      </c>
      <c r="J50" s="25">
        <v>126.3</v>
      </c>
      <c r="K50" s="25">
        <v>123.9</v>
      </c>
      <c r="L50" s="25">
        <v>111.5</v>
      </c>
      <c r="M50" s="25">
        <v>103.5</v>
      </c>
      <c r="N50" s="25">
        <v>111.6</v>
      </c>
      <c r="O50" s="25">
        <v>114.2</v>
      </c>
      <c r="P50" s="25">
        <v>119.2</v>
      </c>
      <c r="Q50" s="25">
        <v>118.2</v>
      </c>
      <c r="R50" s="25"/>
      <c r="S50" s="25">
        <v>116.3</v>
      </c>
      <c r="T50" s="25"/>
      <c r="U50" s="25">
        <v>118.7</v>
      </c>
      <c r="V50" s="25">
        <v>116.8</v>
      </c>
      <c r="W50" s="25">
        <v>118.5</v>
      </c>
      <c r="X50" s="25"/>
      <c r="Y50" s="25" t="s">
        <v>32</v>
      </c>
      <c r="Z50" s="25">
        <v>113.4</v>
      </c>
      <c r="AA50" s="25"/>
      <c r="AB50" s="25">
        <v>114.1</v>
      </c>
      <c r="AC50" s="25"/>
      <c r="AD50" s="25">
        <v>112.1</v>
      </c>
      <c r="AE50" s="25"/>
      <c r="AF50" s="25">
        <v>111.4</v>
      </c>
      <c r="AG50" s="25"/>
      <c r="AH50" s="25">
        <v>110.9</v>
      </c>
      <c r="AI50" s="25"/>
      <c r="AJ50" s="25">
        <v>113.1</v>
      </c>
      <c r="AK50" s="25"/>
      <c r="AL50" s="25">
        <v>108.9</v>
      </c>
      <c r="AM50" s="25"/>
      <c r="AN50" s="25">
        <v>111.8</v>
      </c>
      <c r="AO50" s="25"/>
      <c r="AP50" s="25">
        <v>116</v>
      </c>
    </row>
    <row r="51" spans="1:42" hidden="1" x14ac:dyDescent="0.3">
      <c r="A51" s="25" t="s">
        <v>33</v>
      </c>
      <c r="B51" s="25">
        <v>2014</v>
      </c>
      <c r="C51" s="25" t="s">
        <v>38</v>
      </c>
      <c r="D51" s="26">
        <f>DATE(B51,MATCH(TRIM(C51),{"January","February","March","April","May","June","July","August","September","October","November","December"},0),1)</f>
        <v>41760</v>
      </c>
      <c r="E51" s="25">
        <v>122.7</v>
      </c>
      <c r="F51" s="25">
        <v>124.1</v>
      </c>
      <c r="G51" s="25">
        <v>114.2</v>
      </c>
      <c r="H51" s="25">
        <v>119.1</v>
      </c>
      <c r="I51" s="25">
        <v>103.5</v>
      </c>
      <c r="J51" s="25">
        <v>129.19999999999999</v>
      </c>
      <c r="K51" s="25">
        <v>127</v>
      </c>
      <c r="L51" s="25">
        <v>112.6</v>
      </c>
      <c r="M51" s="25">
        <v>101.3</v>
      </c>
      <c r="N51" s="25">
        <v>117</v>
      </c>
      <c r="O51" s="25">
        <v>112.9</v>
      </c>
      <c r="P51" s="25">
        <v>121.7</v>
      </c>
      <c r="Q51" s="25">
        <v>120</v>
      </c>
      <c r="R51" s="25"/>
      <c r="S51" s="25">
        <v>118.3</v>
      </c>
      <c r="T51" s="25"/>
      <c r="U51" s="25">
        <v>116.8</v>
      </c>
      <c r="V51" s="25">
        <v>112.9</v>
      </c>
      <c r="W51" s="25">
        <v>116.2</v>
      </c>
      <c r="X51" s="25"/>
      <c r="Y51" s="25">
        <v>114.3</v>
      </c>
      <c r="Z51" s="25">
        <v>111.1</v>
      </c>
      <c r="AA51" s="25"/>
      <c r="AB51" s="25">
        <v>114.1</v>
      </c>
      <c r="AC51" s="25"/>
      <c r="AD51" s="25">
        <v>111.2</v>
      </c>
      <c r="AE51" s="25"/>
      <c r="AF51" s="25">
        <v>111.3</v>
      </c>
      <c r="AG51" s="25"/>
      <c r="AH51" s="25">
        <v>111.5</v>
      </c>
      <c r="AI51" s="25"/>
      <c r="AJ51" s="25">
        <v>112.9</v>
      </c>
      <c r="AK51" s="25"/>
      <c r="AL51" s="25">
        <v>109.3</v>
      </c>
      <c r="AM51" s="25"/>
      <c r="AN51" s="25">
        <v>111.7</v>
      </c>
      <c r="AO51" s="25"/>
      <c r="AP51" s="25">
        <v>115.6</v>
      </c>
    </row>
    <row r="52" spans="1:42" hidden="1" x14ac:dyDescent="0.3">
      <c r="A52" s="25" t="s">
        <v>34</v>
      </c>
      <c r="B52" s="25">
        <v>2014</v>
      </c>
      <c r="C52" s="25" t="s">
        <v>38</v>
      </c>
      <c r="D52" s="26">
        <f>DATE(B52,MATCH(TRIM(C52),{"January","February","March","April","May","June","July","August","September","October","November","December"},0),1)</f>
        <v>41760</v>
      </c>
      <c r="E52" s="25">
        <v>121.1</v>
      </c>
      <c r="F52" s="25">
        <v>121.6</v>
      </c>
      <c r="G52" s="25">
        <v>115.9</v>
      </c>
      <c r="H52" s="25">
        <v>118.4</v>
      </c>
      <c r="I52" s="25">
        <v>107.7</v>
      </c>
      <c r="J52" s="25">
        <v>127.7</v>
      </c>
      <c r="K52" s="25">
        <v>125</v>
      </c>
      <c r="L52" s="25">
        <v>111.9</v>
      </c>
      <c r="M52" s="25">
        <v>102.8</v>
      </c>
      <c r="N52" s="25">
        <v>113.4</v>
      </c>
      <c r="O52" s="25">
        <v>113.7</v>
      </c>
      <c r="P52" s="25">
        <v>120.4</v>
      </c>
      <c r="Q52" s="25">
        <v>118.9</v>
      </c>
      <c r="R52" s="25"/>
      <c r="S52" s="25">
        <v>116.8</v>
      </c>
      <c r="T52" s="25"/>
      <c r="U52" s="25">
        <v>118</v>
      </c>
      <c r="V52" s="25">
        <v>115.2</v>
      </c>
      <c r="W52" s="25">
        <v>117.6</v>
      </c>
      <c r="X52" s="25"/>
      <c r="Y52" s="25">
        <v>114.3</v>
      </c>
      <c r="Z52" s="25">
        <v>112.5</v>
      </c>
      <c r="AA52" s="25"/>
      <c r="AB52" s="25">
        <v>114.1</v>
      </c>
      <c r="AC52" s="25"/>
      <c r="AD52" s="25">
        <v>111.8</v>
      </c>
      <c r="AE52" s="25"/>
      <c r="AF52" s="25">
        <v>111.3</v>
      </c>
      <c r="AG52" s="25"/>
      <c r="AH52" s="25">
        <v>111.2</v>
      </c>
      <c r="AI52" s="25"/>
      <c r="AJ52" s="25">
        <v>113</v>
      </c>
      <c r="AK52" s="25"/>
      <c r="AL52" s="25">
        <v>109.1</v>
      </c>
      <c r="AM52" s="25"/>
      <c r="AN52" s="25">
        <v>111.8</v>
      </c>
      <c r="AO52" s="25"/>
      <c r="AP52" s="25">
        <v>115.8</v>
      </c>
    </row>
    <row r="53" spans="1:42" hidden="1" x14ac:dyDescent="0.3">
      <c r="A53" s="25" t="s">
        <v>30</v>
      </c>
      <c r="B53" s="25">
        <v>2014</v>
      </c>
      <c r="C53" s="25" t="s">
        <v>39</v>
      </c>
      <c r="D53" s="26">
        <f>DATE(B53,MATCH(TRIM(C53),{"January","February","March","April","May","June","July","August","September","October","November","December"},0),1)</f>
        <v>41791</v>
      </c>
      <c r="E53" s="25">
        <v>120.7</v>
      </c>
      <c r="F53" s="25">
        <v>121.6</v>
      </c>
      <c r="G53" s="25">
        <v>116.1</v>
      </c>
      <c r="H53" s="25">
        <v>119.3</v>
      </c>
      <c r="I53" s="25">
        <v>110.3</v>
      </c>
      <c r="J53" s="25">
        <v>125.8</v>
      </c>
      <c r="K53" s="25">
        <v>129.30000000000001</v>
      </c>
      <c r="L53" s="25">
        <v>112.2</v>
      </c>
      <c r="M53" s="25">
        <v>103.6</v>
      </c>
      <c r="N53" s="25">
        <v>112.3</v>
      </c>
      <c r="O53" s="25">
        <v>114.9</v>
      </c>
      <c r="P53" s="25">
        <v>120.1</v>
      </c>
      <c r="Q53" s="25">
        <v>119.5</v>
      </c>
      <c r="R53" s="25"/>
      <c r="S53" s="25">
        <v>117.3</v>
      </c>
      <c r="T53" s="25"/>
      <c r="U53" s="25">
        <v>119.7</v>
      </c>
      <c r="V53" s="25">
        <v>117.3</v>
      </c>
      <c r="W53" s="25">
        <v>119.3</v>
      </c>
      <c r="X53" s="25"/>
      <c r="Y53" s="25" t="s">
        <v>32</v>
      </c>
      <c r="Z53" s="25">
        <v>114.4</v>
      </c>
      <c r="AA53" s="25"/>
      <c r="AB53" s="25">
        <v>114.9</v>
      </c>
      <c r="AC53" s="25"/>
      <c r="AD53" s="25">
        <v>112.8</v>
      </c>
      <c r="AE53" s="25"/>
      <c r="AF53" s="25">
        <v>112.2</v>
      </c>
      <c r="AG53" s="25"/>
      <c r="AH53" s="25">
        <v>111.4</v>
      </c>
      <c r="AI53" s="25"/>
      <c r="AJ53" s="25">
        <v>114.3</v>
      </c>
      <c r="AK53" s="25"/>
      <c r="AL53" s="25">
        <v>108</v>
      </c>
      <c r="AM53" s="25"/>
      <c r="AN53" s="25">
        <v>112.3</v>
      </c>
      <c r="AO53" s="25"/>
      <c r="AP53" s="25">
        <v>117</v>
      </c>
    </row>
    <row r="54" spans="1:42" hidden="1" x14ac:dyDescent="0.3">
      <c r="A54" s="25" t="s">
        <v>33</v>
      </c>
      <c r="B54" s="25">
        <v>2014</v>
      </c>
      <c r="C54" s="25" t="s">
        <v>39</v>
      </c>
      <c r="D54" s="26">
        <f>DATE(B54,MATCH(TRIM(C54),{"January","February","March","April","May","June","July","August","September","October","November","December"},0),1)</f>
        <v>41791</v>
      </c>
      <c r="E54" s="25">
        <v>123.1</v>
      </c>
      <c r="F54" s="25">
        <v>125.9</v>
      </c>
      <c r="G54" s="25">
        <v>115.4</v>
      </c>
      <c r="H54" s="25">
        <v>120.4</v>
      </c>
      <c r="I54" s="25">
        <v>103.4</v>
      </c>
      <c r="J54" s="25">
        <v>131.19999999999999</v>
      </c>
      <c r="K54" s="25">
        <v>137.5</v>
      </c>
      <c r="L54" s="25">
        <v>112.8</v>
      </c>
      <c r="M54" s="25">
        <v>101.4</v>
      </c>
      <c r="N54" s="25">
        <v>118.3</v>
      </c>
      <c r="O54" s="25">
        <v>113.2</v>
      </c>
      <c r="P54" s="25">
        <v>122.4</v>
      </c>
      <c r="Q54" s="25">
        <v>122</v>
      </c>
      <c r="R54" s="25"/>
      <c r="S54" s="25">
        <v>119</v>
      </c>
      <c r="T54" s="25"/>
      <c r="U54" s="25">
        <v>117.4</v>
      </c>
      <c r="V54" s="25">
        <v>113.2</v>
      </c>
      <c r="W54" s="25">
        <v>116.7</v>
      </c>
      <c r="X54" s="25"/>
      <c r="Y54" s="25">
        <v>113.9</v>
      </c>
      <c r="Z54" s="25">
        <v>111.2</v>
      </c>
      <c r="AA54" s="25"/>
      <c r="AB54" s="25">
        <v>114.3</v>
      </c>
      <c r="AC54" s="25"/>
      <c r="AD54" s="25">
        <v>111.4</v>
      </c>
      <c r="AE54" s="25"/>
      <c r="AF54" s="25">
        <v>111.5</v>
      </c>
      <c r="AG54" s="25"/>
      <c r="AH54" s="25">
        <v>111.8</v>
      </c>
      <c r="AI54" s="25"/>
      <c r="AJ54" s="25">
        <v>115.1</v>
      </c>
      <c r="AK54" s="25"/>
      <c r="AL54" s="25">
        <v>108.7</v>
      </c>
      <c r="AM54" s="25"/>
      <c r="AN54" s="25">
        <v>112.2</v>
      </c>
      <c r="AO54" s="25"/>
      <c r="AP54" s="25">
        <v>116.4</v>
      </c>
    </row>
    <row r="55" spans="1:42" hidden="1" x14ac:dyDescent="0.3">
      <c r="A55" s="25" t="s">
        <v>34</v>
      </c>
      <c r="B55" s="25">
        <v>2014</v>
      </c>
      <c r="C55" s="25" t="s">
        <v>39</v>
      </c>
      <c r="D55" s="26">
        <f>DATE(B55,MATCH(TRIM(C55),{"January","February","March","April","May","June","July","August","September","October","November","December"},0),1)</f>
        <v>41791</v>
      </c>
      <c r="E55" s="25">
        <v>121.5</v>
      </c>
      <c r="F55" s="25">
        <v>123.1</v>
      </c>
      <c r="G55" s="25">
        <v>115.8</v>
      </c>
      <c r="H55" s="25">
        <v>119.7</v>
      </c>
      <c r="I55" s="25">
        <v>107.8</v>
      </c>
      <c r="J55" s="25">
        <v>128.30000000000001</v>
      </c>
      <c r="K55" s="25">
        <v>132.1</v>
      </c>
      <c r="L55" s="25">
        <v>112.4</v>
      </c>
      <c r="M55" s="25">
        <v>102.9</v>
      </c>
      <c r="N55" s="25">
        <v>114.3</v>
      </c>
      <c r="O55" s="25">
        <v>114.2</v>
      </c>
      <c r="P55" s="25">
        <v>121.2</v>
      </c>
      <c r="Q55" s="25">
        <v>120.4</v>
      </c>
      <c r="R55" s="25"/>
      <c r="S55" s="25">
        <v>117.8</v>
      </c>
      <c r="T55" s="25"/>
      <c r="U55" s="25">
        <v>118.8</v>
      </c>
      <c r="V55" s="25">
        <v>115.6</v>
      </c>
      <c r="W55" s="25">
        <v>118.3</v>
      </c>
      <c r="X55" s="25"/>
      <c r="Y55" s="25">
        <v>113.9</v>
      </c>
      <c r="Z55" s="25">
        <v>113.2</v>
      </c>
      <c r="AA55" s="25"/>
      <c r="AB55" s="25">
        <v>114.6</v>
      </c>
      <c r="AC55" s="25"/>
      <c r="AD55" s="25">
        <v>112.3</v>
      </c>
      <c r="AE55" s="25"/>
      <c r="AF55" s="25">
        <v>111.8</v>
      </c>
      <c r="AG55" s="25"/>
      <c r="AH55" s="25">
        <v>111.6</v>
      </c>
      <c r="AI55" s="25"/>
      <c r="AJ55" s="25">
        <v>114.8</v>
      </c>
      <c r="AK55" s="25"/>
      <c r="AL55" s="25">
        <v>108.3</v>
      </c>
      <c r="AM55" s="25"/>
      <c r="AN55" s="25">
        <v>112.3</v>
      </c>
      <c r="AO55" s="25"/>
      <c r="AP55" s="25">
        <v>116.7</v>
      </c>
    </row>
    <row r="56" spans="1:42" hidden="1" x14ac:dyDescent="0.3">
      <c r="A56" s="25" t="s">
        <v>30</v>
      </c>
      <c r="B56" s="25">
        <v>2014</v>
      </c>
      <c r="C56" s="25" t="s">
        <v>40</v>
      </c>
      <c r="D56" s="26">
        <f>DATE(B56,MATCH(TRIM(C56),{"January","February","March","April","May","June","July","August","September","October","November","December"},0),1)</f>
        <v>41821</v>
      </c>
      <c r="E56" s="25">
        <v>121.7</v>
      </c>
      <c r="F56" s="25">
        <v>122.5</v>
      </c>
      <c r="G56" s="25">
        <v>117.7</v>
      </c>
      <c r="H56" s="25">
        <v>120.6</v>
      </c>
      <c r="I56" s="25">
        <v>110.4</v>
      </c>
      <c r="J56" s="25">
        <v>129.1</v>
      </c>
      <c r="K56" s="25">
        <v>150.1</v>
      </c>
      <c r="L56" s="25">
        <v>113.2</v>
      </c>
      <c r="M56" s="25">
        <v>104.8</v>
      </c>
      <c r="N56" s="25">
        <v>113.3</v>
      </c>
      <c r="O56" s="25">
        <v>115.6</v>
      </c>
      <c r="P56" s="25">
        <v>120.9</v>
      </c>
      <c r="Q56" s="25">
        <v>123.3</v>
      </c>
      <c r="R56" s="25"/>
      <c r="S56" s="25">
        <v>118</v>
      </c>
      <c r="T56" s="25"/>
      <c r="U56" s="25">
        <v>120.7</v>
      </c>
      <c r="V56" s="25">
        <v>118.3</v>
      </c>
      <c r="W56" s="25">
        <v>120.3</v>
      </c>
      <c r="X56" s="25"/>
      <c r="Y56" s="25" t="s">
        <v>32</v>
      </c>
      <c r="Z56" s="25">
        <v>115.3</v>
      </c>
      <c r="AA56" s="25"/>
      <c r="AB56" s="25">
        <v>115.4</v>
      </c>
      <c r="AC56" s="25"/>
      <c r="AD56" s="25">
        <v>113.4</v>
      </c>
      <c r="AE56" s="25"/>
      <c r="AF56" s="25">
        <v>113.2</v>
      </c>
      <c r="AG56" s="25"/>
      <c r="AH56" s="25">
        <v>111.8</v>
      </c>
      <c r="AI56" s="25"/>
      <c r="AJ56" s="25">
        <v>115.5</v>
      </c>
      <c r="AK56" s="25"/>
      <c r="AL56" s="25">
        <v>108.8</v>
      </c>
      <c r="AM56" s="25"/>
      <c r="AN56" s="25">
        <v>113.1</v>
      </c>
      <c r="AO56" s="25"/>
      <c r="AP56" s="25">
        <v>119.5</v>
      </c>
    </row>
    <row r="57" spans="1:42" hidden="1" x14ac:dyDescent="0.3">
      <c r="A57" s="25" t="s">
        <v>33</v>
      </c>
      <c r="B57" s="25">
        <v>2014</v>
      </c>
      <c r="C57" s="25" t="s">
        <v>40</v>
      </c>
      <c r="D57" s="26">
        <f>DATE(B57,MATCH(TRIM(C57),{"January","February","March","April","May","June","July","August","September","October","November","December"},0),1)</f>
        <v>41821</v>
      </c>
      <c r="E57" s="25">
        <v>123.8</v>
      </c>
      <c r="F57" s="25">
        <v>126.4</v>
      </c>
      <c r="G57" s="25">
        <v>118</v>
      </c>
      <c r="H57" s="25">
        <v>121.6</v>
      </c>
      <c r="I57" s="25">
        <v>103.5</v>
      </c>
      <c r="J57" s="25">
        <v>133.69999999999999</v>
      </c>
      <c r="K57" s="25">
        <v>172.4</v>
      </c>
      <c r="L57" s="25">
        <v>113.1</v>
      </c>
      <c r="M57" s="25">
        <v>102.7</v>
      </c>
      <c r="N57" s="25">
        <v>120</v>
      </c>
      <c r="O57" s="25">
        <v>113.8</v>
      </c>
      <c r="P57" s="25">
        <v>123.4</v>
      </c>
      <c r="Q57" s="25">
        <v>127.1</v>
      </c>
      <c r="R57" s="25"/>
      <c r="S57" s="25">
        <v>121</v>
      </c>
      <c r="T57" s="25"/>
      <c r="U57" s="25">
        <v>118</v>
      </c>
      <c r="V57" s="25">
        <v>113.6</v>
      </c>
      <c r="W57" s="25">
        <v>117.4</v>
      </c>
      <c r="X57" s="25"/>
      <c r="Y57" s="25">
        <v>114.8</v>
      </c>
      <c r="Z57" s="25">
        <v>111.6</v>
      </c>
      <c r="AA57" s="25"/>
      <c r="AB57" s="25">
        <v>114.9</v>
      </c>
      <c r="AC57" s="25"/>
      <c r="AD57" s="25">
        <v>111.5</v>
      </c>
      <c r="AE57" s="25"/>
      <c r="AF57" s="25">
        <v>113</v>
      </c>
      <c r="AG57" s="25"/>
      <c r="AH57" s="25">
        <v>112.4</v>
      </c>
      <c r="AI57" s="25"/>
      <c r="AJ57" s="25">
        <v>117.8</v>
      </c>
      <c r="AK57" s="25"/>
      <c r="AL57" s="25">
        <v>109.7</v>
      </c>
      <c r="AM57" s="25"/>
      <c r="AN57" s="25">
        <v>113.5</v>
      </c>
      <c r="AO57" s="25"/>
      <c r="AP57" s="25">
        <v>118.9</v>
      </c>
    </row>
    <row r="58" spans="1:42" hidden="1" x14ac:dyDescent="0.3">
      <c r="A58" s="25" t="s">
        <v>34</v>
      </c>
      <c r="B58" s="25">
        <v>2014</v>
      </c>
      <c r="C58" s="25" t="s">
        <v>40</v>
      </c>
      <c r="D58" s="26">
        <f>DATE(B58,MATCH(TRIM(C58),{"January","February","March","April","May","June","July","August","September","October","November","December"},0),1)</f>
        <v>41821</v>
      </c>
      <c r="E58" s="25">
        <v>122.4</v>
      </c>
      <c r="F58" s="25">
        <v>123.9</v>
      </c>
      <c r="G58" s="25">
        <v>117.8</v>
      </c>
      <c r="H58" s="25">
        <v>121</v>
      </c>
      <c r="I58" s="25">
        <v>107.9</v>
      </c>
      <c r="J58" s="25">
        <v>131.19999999999999</v>
      </c>
      <c r="K58" s="25">
        <v>157.69999999999999</v>
      </c>
      <c r="L58" s="25">
        <v>113.2</v>
      </c>
      <c r="M58" s="25">
        <v>104.1</v>
      </c>
      <c r="N58" s="25">
        <v>115.5</v>
      </c>
      <c r="O58" s="25">
        <v>114.8</v>
      </c>
      <c r="P58" s="25">
        <v>122.1</v>
      </c>
      <c r="Q58" s="25">
        <v>124.7</v>
      </c>
      <c r="R58" s="25"/>
      <c r="S58" s="25">
        <v>118.8</v>
      </c>
      <c r="T58" s="25"/>
      <c r="U58" s="25">
        <v>119.6</v>
      </c>
      <c r="V58" s="25">
        <v>116.3</v>
      </c>
      <c r="W58" s="25">
        <v>119.1</v>
      </c>
      <c r="X58" s="25"/>
      <c r="Y58" s="25">
        <v>114.8</v>
      </c>
      <c r="Z58" s="25">
        <v>113.9</v>
      </c>
      <c r="AA58" s="25"/>
      <c r="AB58" s="25">
        <v>115.2</v>
      </c>
      <c r="AC58" s="25"/>
      <c r="AD58" s="25">
        <v>112.7</v>
      </c>
      <c r="AE58" s="25"/>
      <c r="AF58" s="25">
        <v>113.1</v>
      </c>
      <c r="AG58" s="25"/>
      <c r="AH58" s="25">
        <v>112.1</v>
      </c>
      <c r="AI58" s="25"/>
      <c r="AJ58" s="25">
        <v>116.8</v>
      </c>
      <c r="AK58" s="25"/>
      <c r="AL58" s="25">
        <v>109.2</v>
      </c>
      <c r="AM58" s="25"/>
      <c r="AN58" s="25">
        <v>113.3</v>
      </c>
      <c r="AO58" s="25"/>
      <c r="AP58" s="25">
        <v>119.2</v>
      </c>
    </row>
    <row r="59" spans="1:42" hidden="1" x14ac:dyDescent="0.3">
      <c r="A59" s="25" t="s">
        <v>30</v>
      </c>
      <c r="B59" s="25">
        <v>2014</v>
      </c>
      <c r="C59" s="25" t="s">
        <v>41</v>
      </c>
      <c r="D59" s="26">
        <f>DATE(B59,MATCH(TRIM(C59),{"January","February","March","April","May","June","July","August","September","October","November","December"},0),1)</f>
        <v>41852</v>
      </c>
      <c r="E59" s="25">
        <v>121.8</v>
      </c>
      <c r="F59" s="25">
        <v>122.8</v>
      </c>
      <c r="G59" s="25">
        <v>117.8</v>
      </c>
      <c r="H59" s="25">
        <v>121.9</v>
      </c>
      <c r="I59" s="25">
        <v>110.6</v>
      </c>
      <c r="J59" s="25">
        <v>129.69999999999999</v>
      </c>
      <c r="K59" s="25">
        <v>161.1</v>
      </c>
      <c r="L59" s="25">
        <v>114.1</v>
      </c>
      <c r="M59" s="25">
        <v>105.1</v>
      </c>
      <c r="N59" s="25">
        <v>114.6</v>
      </c>
      <c r="O59" s="25">
        <v>115.8</v>
      </c>
      <c r="P59" s="25">
        <v>121.7</v>
      </c>
      <c r="Q59" s="25">
        <v>125.3</v>
      </c>
      <c r="R59" s="25"/>
      <c r="S59" s="25">
        <v>118.8</v>
      </c>
      <c r="T59" s="25"/>
      <c r="U59" s="25">
        <v>120.9</v>
      </c>
      <c r="V59" s="25">
        <v>118.8</v>
      </c>
      <c r="W59" s="25">
        <v>120.7</v>
      </c>
      <c r="X59" s="25"/>
      <c r="Y59" s="25" t="s">
        <v>32</v>
      </c>
      <c r="Z59" s="25">
        <v>115.4</v>
      </c>
      <c r="AA59" s="25"/>
      <c r="AB59" s="25">
        <v>115.9</v>
      </c>
      <c r="AC59" s="25"/>
      <c r="AD59" s="25">
        <v>114</v>
      </c>
      <c r="AE59" s="25"/>
      <c r="AF59" s="25">
        <v>113.2</v>
      </c>
      <c r="AG59" s="25"/>
      <c r="AH59" s="25">
        <v>112.2</v>
      </c>
      <c r="AI59" s="25"/>
      <c r="AJ59" s="25">
        <v>116.2</v>
      </c>
      <c r="AK59" s="25"/>
      <c r="AL59" s="25">
        <v>109.4</v>
      </c>
      <c r="AM59" s="25"/>
      <c r="AN59" s="25">
        <v>113.5</v>
      </c>
      <c r="AO59" s="25"/>
      <c r="AP59" s="25">
        <v>120.7</v>
      </c>
    </row>
    <row r="60" spans="1:42" hidden="1" x14ac:dyDescent="0.3">
      <c r="A60" s="25" t="s">
        <v>33</v>
      </c>
      <c r="B60" s="25">
        <v>2014</v>
      </c>
      <c r="C60" s="25" t="s">
        <v>41</v>
      </c>
      <c r="D60" s="26">
        <f>DATE(B60,MATCH(TRIM(C60),{"January","February","March","April","May","June","July","August","September","October","November","December"},0),1)</f>
        <v>41852</v>
      </c>
      <c r="E60" s="25">
        <v>124.8</v>
      </c>
      <c r="F60" s="25">
        <v>127.3</v>
      </c>
      <c r="G60" s="25">
        <v>116.5</v>
      </c>
      <c r="H60" s="25">
        <v>122.2</v>
      </c>
      <c r="I60" s="25">
        <v>103.6</v>
      </c>
      <c r="J60" s="25">
        <v>132.69999999999999</v>
      </c>
      <c r="K60" s="25">
        <v>181.9</v>
      </c>
      <c r="L60" s="25">
        <v>115.2</v>
      </c>
      <c r="M60" s="25">
        <v>102.7</v>
      </c>
      <c r="N60" s="25">
        <v>122.1</v>
      </c>
      <c r="O60" s="25">
        <v>114.4</v>
      </c>
      <c r="P60" s="25">
        <v>124.7</v>
      </c>
      <c r="Q60" s="25">
        <v>128.9</v>
      </c>
      <c r="R60" s="25"/>
      <c r="S60" s="25">
        <v>123</v>
      </c>
      <c r="T60" s="25"/>
      <c r="U60" s="25">
        <v>118.6</v>
      </c>
      <c r="V60" s="25">
        <v>114.1</v>
      </c>
      <c r="W60" s="25">
        <v>117.9</v>
      </c>
      <c r="X60" s="25"/>
      <c r="Y60" s="25">
        <v>115.5</v>
      </c>
      <c r="Z60" s="25">
        <v>111.8</v>
      </c>
      <c r="AA60" s="25"/>
      <c r="AB60" s="25">
        <v>115.3</v>
      </c>
      <c r="AC60" s="25"/>
      <c r="AD60" s="25">
        <v>112.2</v>
      </c>
      <c r="AE60" s="25"/>
      <c r="AF60" s="25">
        <v>112.5</v>
      </c>
      <c r="AG60" s="25"/>
      <c r="AH60" s="25">
        <v>112.9</v>
      </c>
      <c r="AI60" s="25"/>
      <c r="AJ60" s="25">
        <v>119.2</v>
      </c>
      <c r="AK60" s="25"/>
      <c r="AL60" s="25">
        <v>110.5</v>
      </c>
      <c r="AM60" s="25"/>
      <c r="AN60" s="25">
        <v>113.9</v>
      </c>
      <c r="AO60" s="25"/>
      <c r="AP60" s="25">
        <v>119.9</v>
      </c>
    </row>
    <row r="61" spans="1:42" hidden="1" x14ac:dyDescent="0.3">
      <c r="A61" s="25" t="s">
        <v>34</v>
      </c>
      <c r="B61" s="25">
        <v>2014</v>
      </c>
      <c r="C61" s="25" t="s">
        <v>41</v>
      </c>
      <c r="D61" s="26">
        <f>DATE(B61,MATCH(TRIM(C61),{"January","February","March","April","May","June","July","August","September","October","November","December"},0),1)</f>
        <v>41852</v>
      </c>
      <c r="E61" s="25">
        <v>122.7</v>
      </c>
      <c r="F61" s="25">
        <v>124.4</v>
      </c>
      <c r="G61" s="25">
        <v>117.3</v>
      </c>
      <c r="H61" s="25">
        <v>122</v>
      </c>
      <c r="I61" s="25">
        <v>108</v>
      </c>
      <c r="J61" s="25">
        <v>131.1</v>
      </c>
      <c r="K61" s="25">
        <v>168.2</v>
      </c>
      <c r="L61" s="25">
        <v>114.5</v>
      </c>
      <c r="M61" s="25">
        <v>104.3</v>
      </c>
      <c r="N61" s="25">
        <v>117.1</v>
      </c>
      <c r="O61" s="25">
        <v>115.2</v>
      </c>
      <c r="P61" s="25">
        <v>123.1</v>
      </c>
      <c r="Q61" s="25">
        <v>126.6</v>
      </c>
      <c r="R61" s="25"/>
      <c r="S61" s="25">
        <v>119.9</v>
      </c>
      <c r="T61" s="25"/>
      <c r="U61" s="25">
        <v>120</v>
      </c>
      <c r="V61" s="25">
        <v>116.8</v>
      </c>
      <c r="W61" s="25">
        <v>119.6</v>
      </c>
      <c r="X61" s="25"/>
      <c r="Y61" s="25">
        <v>115.5</v>
      </c>
      <c r="Z61" s="25">
        <v>114</v>
      </c>
      <c r="AA61" s="25"/>
      <c r="AB61" s="25">
        <v>115.6</v>
      </c>
      <c r="AC61" s="25"/>
      <c r="AD61" s="25">
        <v>113.3</v>
      </c>
      <c r="AE61" s="25"/>
      <c r="AF61" s="25">
        <v>112.8</v>
      </c>
      <c r="AG61" s="25"/>
      <c r="AH61" s="25">
        <v>112.6</v>
      </c>
      <c r="AI61" s="25"/>
      <c r="AJ61" s="25">
        <v>118</v>
      </c>
      <c r="AK61" s="25"/>
      <c r="AL61" s="25">
        <v>109.9</v>
      </c>
      <c r="AM61" s="25"/>
      <c r="AN61" s="25">
        <v>113.7</v>
      </c>
      <c r="AO61" s="25"/>
      <c r="AP61" s="25">
        <v>120.3</v>
      </c>
    </row>
    <row r="62" spans="1:42" hidden="1" x14ac:dyDescent="0.3">
      <c r="A62" s="25" t="s">
        <v>30</v>
      </c>
      <c r="B62" s="25">
        <v>2014</v>
      </c>
      <c r="C62" s="25" t="s">
        <v>42</v>
      </c>
      <c r="D62" s="26">
        <f>DATE(B62,MATCH(TRIM(C62),{"January","February","March","April","May","June","July","August","September","October","November","December"},0),1)</f>
        <v>41883</v>
      </c>
      <c r="E62" s="25">
        <v>122.3</v>
      </c>
      <c r="F62" s="25">
        <v>122.4</v>
      </c>
      <c r="G62" s="25">
        <v>117.8</v>
      </c>
      <c r="H62" s="25">
        <v>122.7</v>
      </c>
      <c r="I62" s="25">
        <v>110.4</v>
      </c>
      <c r="J62" s="25">
        <v>129.80000000000001</v>
      </c>
      <c r="K62" s="25">
        <v>158.80000000000001</v>
      </c>
      <c r="L62" s="25">
        <v>115</v>
      </c>
      <c r="M62" s="25">
        <v>104.7</v>
      </c>
      <c r="N62" s="25">
        <v>114.9</v>
      </c>
      <c r="O62" s="25">
        <v>116.5</v>
      </c>
      <c r="P62" s="25">
        <v>122.6</v>
      </c>
      <c r="Q62" s="25">
        <v>125.3</v>
      </c>
      <c r="R62" s="25"/>
      <c r="S62" s="25">
        <v>119.5</v>
      </c>
      <c r="T62" s="25"/>
      <c r="U62" s="25">
        <v>121.7</v>
      </c>
      <c r="V62" s="25">
        <v>119.2</v>
      </c>
      <c r="W62" s="25">
        <v>121.3</v>
      </c>
      <c r="X62" s="25"/>
      <c r="Y62" s="25" t="s">
        <v>32</v>
      </c>
      <c r="Z62" s="25">
        <v>115.8</v>
      </c>
      <c r="AA62" s="25"/>
      <c r="AB62" s="25">
        <v>116.7</v>
      </c>
      <c r="AC62" s="25"/>
      <c r="AD62" s="25">
        <v>114.5</v>
      </c>
      <c r="AE62" s="25"/>
      <c r="AF62" s="25">
        <v>112.8</v>
      </c>
      <c r="AG62" s="25"/>
      <c r="AH62" s="25">
        <v>112.6</v>
      </c>
      <c r="AI62" s="25"/>
      <c r="AJ62" s="25">
        <v>116.6</v>
      </c>
      <c r="AK62" s="25"/>
      <c r="AL62" s="25">
        <v>109.1</v>
      </c>
      <c r="AM62" s="25"/>
      <c r="AN62" s="25">
        <v>113.7</v>
      </c>
      <c r="AO62" s="25"/>
      <c r="AP62" s="25">
        <v>120.9</v>
      </c>
    </row>
    <row r="63" spans="1:42" hidden="1" x14ac:dyDescent="0.3">
      <c r="A63" s="25" t="s">
        <v>33</v>
      </c>
      <c r="B63" s="25">
        <v>2014</v>
      </c>
      <c r="C63" s="25" t="s">
        <v>42</v>
      </c>
      <c r="D63" s="26">
        <f>DATE(B63,MATCH(TRIM(C63),{"January","February","March","April","May","June","July","August","September","October","November","December"},0),1)</f>
        <v>41883</v>
      </c>
      <c r="E63" s="25">
        <v>124.2</v>
      </c>
      <c r="F63" s="25">
        <v>125.4</v>
      </c>
      <c r="G63" s="25">
        <v>116.4</v>
      </c>
      <c r="H63" s="25">
        <v>122.7</v>
      </c>
      <c r="I63" s="25">
        <v>103.5</v>
      </c>
      <c r="J63" s="25">
        <v>124.5</v>
      </c>
      <c r="K63" s="25">
        <v>168.6</v>
      </c>
      <c r="L63" s="25">
        <v>116.9</v>
      </c>
      <c r="M63" s="25">
        <v>101.9</v>
      </c>
      <c r="N63" s="25">
        <v>122.9</v>
      </c>
      <c r="O63" s="25">
        <v>114.8</v>
      </c>
      <c r="P63" s="25">
        <v>125.2</v>
      </c>
      <c r="Q63" s="25">
        <v>126.7</v>
      </c>
      <c r="R63" s="25"/>
      <c r="S63" s="25">
        <v>124.3</v>
      </c>
      <c r="T63" s="25"/>
      <c r="U63" s="25">
        <v>119.2</v>
      </c>
      <c r="V63" s="25">
        <v>114.5</v>
      </c>
      <c r="W63" s="25">
        <v>118.4</v>
      </c>
      <c r="X63" s="25"/>
      <c r="Y63" s="25">
        <v>116.1</v>
      </c>
      <c r="Z63" s="25">
        <v>111.8</v>
      </c>
      <c r="AA63" s="25"/>
      <c r="AB63" s="25">
        <v>115.5</v>
      </c>
      <c r="AC63" s="25"/>
      <c r="AD63" s="25">
        <v>112.3</v>
      </c>
      <c r="AE63" s="25"/>
      <c r="AF63" s="25">
        <v>111.2</v>
      </c>
      <c r="AG63" s="25"/>
      <c r="AH63" s="25">
        <v>113.4</v>
      </c>
      <c r="AI63" s="25"/>
      <c r="AJ63" s="25">
        <v>120</v>
      </c>
      <c r="AK63" s="25"/>
      <c r="AL63" s="25">
        <v>110</v>
      </c>
      <c r="AM63" s="25"/>
      <c r="AN63" s="25">
        <v>113.6</v>
      </c>
      <c r="AO63" s="25"/>
      <c r="AP63" s="25">
        <v>119.2</v>
      </c>
    </row>
    <row r="64" spans="1:42" hidden="1" x14ac:dyDescent="0.3">
      <c r="A64" s="25" t="s">
        <v>34</v>
      </c>
      <c r="B64" s="25">
        <v>2014</v>
      </c>
      <c r="C64" s="25" t="s">
        <v>42</v>
      </c>
      <c r="D64" s="26">
        <f>DATE(B64,MATCH(TRIM(C64),{"January","February","March","April","May","June","July","August","September","October","November","December"},0),1)</f>
        <v>41883</v>
      </c>
      <c r="E64" s="25">
        <v>122.9</v>
      </c>
      <c r="F64" s="25">
        <v>123.5</v>
      </c>
      <c r="G64" s="25">
        <v>117.3</v>
      </c>
      <c r="H64" s="25">
        <v>122.7</v>
      </c>
      <c r="I64" s="25">
        <v>107.9</v>
      </c>
      <c r="J64" s="25">
        <v>127.3</v>
      </c>
      <c r="K64" s="25">
        <v>162.1</v>
      </c>
      <c r="L64" s="25">
        <v>115.6</v>
      </c>
      <c r="M64" s="25">
        <v>103.8</v>
      </c>
      <c r="N64" s="25">
        <v>117.6</v>
      </c>
      <c r="O64" s="25">
        <v>115.8</v>
      </c>
      <c r="P64" s="25">
        <v>123.8</v>
      </c>
      <c r="Q64" s="25">
        <v>125.8</v>
      </c>
      <c r="R64" s="25"/>
      <c r="S64" s="25">
        <v>120.8</v>
      </c>
      <c r="T64" s="25"/>
      <c r="U64" s="25">
        <v>120.7</v>
      </c>
      <c r="V64" s="25">
        <v>117.2</v>
      </c>
      <c r="W64" s="25">
        <v>120.1</v>
      </c>
      <c r="X64" s="25"/>
      <c r="Y64" s="25">
        <v>116.1</v>
      </c>
      <c r="Z64" s="25">
        <v>114.3</v>
      </c>
      <c r="AA64" s="25"/>
      <c r="AB64" s="25">
        <v>116.1</v>
      </c>
      <c r="AC64" s="25"/>
      <c r="AD64" s="25">
        <v>113.7</v>
      </c>
      <c r="AE64" s="25"/>
      <c r="AF64" s="25">
        <v>112</v>
      </c>
      <c r="AG64" s="25"/>
      <c r="AH64" s="25">
        <v>113.1</v>
      </c>
      <c r="AI64" s="25"/>
      <c r="AJ64" s="25">
        <v>118.6</v>
      </c>
      <c r="AK64" s="25"/>
      <c r="AL64" s="25">
        <v>109.5</v>
      </c>
      <c r="AM64" s="25"/>
      <c r="AN64" s="25">
        <v>113.7</v>
      </c>
      <c r="AO64" s="25"/>
      <c r="AP64" s="25">
        <v>120.1</v>
      </c>
    </row>
    <row r="65" spans="1:42" hidden="1" x14ac:dyDescent="0.3">
      <c r="A65" s="25" t="s">
        <v>30</v>
      </c>
      <c r="B65" s="25">
        <v>2014</v>
      </c>
      <c r="C65" s="25" t="s">
        <v>43</v>
      </c>
      <c r="D65" s="26">
        <f>DATE(B65,MATCH(TRIM(C65),{"January","February","March","April","May","June","July","August","September","October","November","December"},0),1)</f>
        <v>41913</v>
      </c>
      <c r="E65" s="25">
        <v>122.6</v>
      </c>
      <c r="F65" s="25">
        <v>122.5</v>
      </c>
      <c r="G65" s="25">
        <v>118.3</v>
      </c>
      <c r="H65" s="25">
        <v>123.2</v>
      </c>
      <c r="I65" s="25">
        <v>110.5</v>
      </c>
      <c r="J65" s="25">
        <v>128.9</v>
      </c>
      <c r="K65" s="25">
        <v>155.30000000000001</v>
      </c>
      <c r="L65" s="25">
        <v>115.5</v>
      </c>
      <c r="M65" s="25">
        <v>104</v>
      </c>
      <c r="N65" s="25">
        <v>115.3</v>
      </c>
      <c r="O65" s="25">
        <v>116.8</v>
      </c>
      <c r="P65" s="25">
        <v>123.2</v>
      </c>
      <c r="Q65" s="25">
        <v>125.1</v>
      </c>
      <c r="R65" s="25"/>
      <c r="S65" s="25">
        <v>120</v>
      </c>
      <c r="T65" s="25"/>
      <c r="U65" s="25">
        <v>122.7</v>
      </c>
      <c r="V65" s="25">
        <v>120.3</v>
      </c>
      <c r="W65" s="25">
        <v>122.3</v>
      </c>
      <c r="X65" s="25"/>
      <c r="Y65" s="25" t="s">
        <v>32</v>
      </c>
      <c r="Z65" s="25">
        <v>116.4</v>
      </c>
      <c r="AA65" s="25"/>
      <c r="AB65" s="25">
        <v>117.5</v>
      </c>
      <c r="AC65" s="25"/>
      <c r="AD65" s="25">
        <v>115.3</v>
      </c>
      <c r="AE65" s="25"/>
      <c r="AF65" s="25">
        <v>112.6</v>
      </c>
      <c r="AG65" s="25"/>
      <c r="AH65" s="25">
        <v>113</v>
      </c>
      <c r="AI65" s="25"/>
      <c r="AJ65" s="25">
        <v>116.9</v>
      </c>
      <c r="AK65" s="25"/>
      <c r="AL65" s="25">
        <v>109.3</v>
      </c>
      <c r="AM65" s="25"/>
      <c r="AN65" s="25">
        <v>114</v>
      </c>
      <c r="AO65" s="25"/>
      <c r="AP65" s="25">
        <v>121</v>
      </c>
    </row>
    <row r="66" spans="1:42" hidden="1" x14ac:dyDescent="0.3">
      <c r="A66" s="25" t="s">
        <v>33</v>
      </c>
      <c r="B66" s="25">
        <v>2014</v>
      </c>
      <c r="C66" s="25" t="s">
        <v>43</v>
      </c>
      <c r="D66" s="26">
        <f>DATE(B66,MATCH(TRIM(C66),{"January","February","March","April","May","June","July","August","September","October","November","December"},0),1)</f>
        <v>41913</v>
      </c>
      <c r="E66" s="25">
        <v>124.6</v>
      </c>
      <c r="F66" s="25">
        <v>126.1</v>
      </c>
      <c r="G66" s="25">
        <v>117.8</v>
      </c>
      <c r="H66" s="25">
        <v>123.1</v>
      </c>
      <c r="I66" s="25">
        <v>103.5</v>
      </c>
      <c r="J66" s="25">
        <v>123.5</v>
      </c>
      <c r="K66" s="25">
        <v>159.6</v>
      </c>
      <c r="L66" s="25">
        <v>117.4</v>
      </c>
      <c r="M66" s="25">
        <v>101.2</v>
      </c>
      <c r="N66" s="25">
        <v>123.8</v>
      </c>
      <c r="O66" s="25">
        <v>115.2</v>
      </c>
      <c r="P66" s="25">
        <v>125.9</v>
      </c>
      <c r="Q66" s="25">
        <v>125.8</v>
      </c>
      <c r="R66" s="25"/>
      <c r="S66" s="25">
        <v>124.3</v>
      </c>
      <c r="T66" s="25"/>
      <c r="U66" s="25">
        <v>119.6</v>
      </c>
      <c r="V66" s="25">
        <v>114.9</v>
      </c>
      <c r="W66" s="25">
        <v>118.9</v>
      </c>
      <c r="X66" s="25"/>
      <c r="Y66" s="25">
        <v>116.7</v>
      </c>
      <c r="Z66" s="25">
        <v>112</v>
      </c>
      <c r="AA66" s="25"/>
      <c r="AB66" s="25">
        <v>115.8</v>
      </c>
      <c r="AC66" s="25"/>
      <c r="AD66" s="25">
        <v>112.6</v>
      </c>
      <c r="AE66" s="25"/>
      <c r="AF66" s="25">
        <v>111</v>
      </c>
      <c r="AG66" s="25"/>
      <c r="AH66" s="25">
        <v>113.6</v>
      </c>
      <c r="AI66" s="25"/>
      <c r="AJ66" s="25">
        <v>120.2</v>
      </c>
      <c r="AK66" s="25"/>
      <c r="AL66" s="25">
        <v>110.1</v>
      </c>
      <c r="AM66" s="25"/>
      <c r="AN66" s="25">
        <v>113.7</v>
      </c>
      <c r="AO66" s="25"/>
      <c r="AP66" s="25">
        <v>119.1</v>
      </c>
    </row>
    <row r="67" spans="1:42" hidden="1" x14ac:dyDescent="0.3">
      <c r="A67" s="25" t="s">
        <v>34</v>
      </c>
      <c r="B67" s="25">
        <v>2014</v>
      </c>
      <c r="C67" s="25" t="s">
        <v>43</v>
      </c>
      <c r="D67" s="26">
        <f>DATE(B67,MATCH(TRIM(C67),{"January","February","March","April","May","June","July","August","September","October","November","December"},0),1)</f>
        <v>41913</v>
      </c>
      <c r="E67" s="25">
        <v>123.2</v>
      </c>
      <c r="F67" s="25">
        <v>123.8</v>
      </c>
      <c r="G67" s="25">
        <v>118.1</v>
      </c>
      <c r="H67" s="25">
        <v>123.2</v>
      </c>
      <c r="I67" s="25">
        <v>107.9</v>
      </c>
      <c r="J67" s="25">
        <v>126.4</v>
      </c>
      <c r="K67" s="25">
        <v>156.80000000000001</v>
      </c>
      <c r="L67" s="25">
        <v>116.1</v>
      </c>
      <c r="M67" s="25">
        <v>103.1</v>
      </c>
      <c r="N67" s="25">
        <v>118.1</v>
      </c>
      <c r="O67" s="25">
        <v>116.1</v>
      </c>
      <c r="P67" s="25">
        <v>124.5</v>
      </c>
      <c r="Q67" s="25">
        <v>125.4</v>
      </c>
      <c r="R67" s="25"/>
      <c r="S67" s="25">
        <v>121.1</v>
      </c>
      <c r="T67" s="25"/>
      <c r="U67" s="25">
        <v>121.5</v>
      </c>
      <c r="V67" s="25">
        <v>118.1</v>
      </c>
      <c r="W67" s="25">
        <v>121</v>
      </c>
      <c r="X67" s="25"/>
      <c r="Y67" s="25">
        <v>116.7</v>
      </c>
      <c r="Z67" s="25">
        <v>114.7</v>
      </c>
      <c r="AA67" s="25"/>
      <c r="AB67" s="25">
        <v>116.7</v>
      </c>
      <c r="AC67" s="25"/>
      <c r="AD67" s="25">
        <v>114.3</v>
      </c>
      <c r="AE67" s="25"/>
      <c r="AF67" s="25">
        <v>111.8</v>
      </c>
      <c r="AG67" s="25"/>
      <c r="AH67" s="25">
        <v>113.3</v>
      </c>
      <c r="AI67" s="25"/>
      <c r="AJ67" s="25">
        <v>118.8</v>
      </c>
      <c r="AK67" s="25"/>
      <c r="AL67" s="25">
        <v>109.6</v>
      </c>
      <c r="AM67" s="25"/>
      <c r="AN67" s="25">
        <v>113.9</v>
      </c>
      <c r="AO67" s="25"/>
      <c r="AP67" s="25">
        <v>120.1</v>
      </c>
    </row>
    <row r="68" spans="1:42" hidden="1" x14ac:dyDescent="0.3">
      <c r="A68" s="25" t="s">
        <v>30</v>
      </c>
      <c r="B68" s="25">
        <v>2014</v>
      </c>
      <c r="C68" s="25" t="s">
        <v>45</v>
      </c>
      <c r="D68" s="26">
        <f>DATE(B68,MATCH(TRIM(C68),{"January","February","March","April","May","June","July","August","September","October","November","December"},0),1)</f>
        <v>41944</v>
      </c>
      <c r="E68" s="25">
        <v>122.7</v>
      </c>
      <c r="F68" s="25">
        <v>122.6</v>
      </c>
      <c r="G68" s="25">
        <v>119.9</v>
      </c>
      <c r="H68" s="25">
        <v>124</v>
      </c>
      <c r="I68" s="25">
        <v>110.5</v>
      </c>
      <c r="J68" s="25">
        <v>128.80000000000001</v>
      </c>
      <c r="K68" s="25">
        <v>152</v>
      </c>
      <c r="L68" s="25">
        <v>116.2</v>
      </c>
      <c r="M68" s="25">
        <v>103.3</v>
      </c>
      <c r="N68" s="25">
        <v>115.8</v>
      </c>
      <c r="O68" s="25">
        <v>116.8</v>
      </c>
      <c r="P68" s="25">
        <v>124.5</v>
      </c>
      <c r="Q68" s="25">
        <v>124.9</v>
      </c>
      <c r="R68" s="25"/>
      <c r="S68" s="25">
        <v>120.8</v>
      </c>
      <c r="T68" s="25"/>
      <c r="U68" s="25">
        <v>123.3</v>
      </c>
      <c r="V68" s="25">
        <v>120.5</v>
      </c>
      <c r="W68" s="25">
        <v>122.9</v>
      </c>
      <c r="X68" s="25"/>
      <c r="Y68" s="25" t="s">
        <v>32</v>
      </c>
      <c r="Z68" s="25">
        <v>117.3</v>
      </c>
      <c r="AA68" s="25"/>
      <c r="AB68" s="25">
        <v>118.1</v>
      </c>
      <c r="AC68" s="25"/>
      <c r="AD68" s="25">
        <v>115.9</v>
      </c>
      <c r="AE68" s="25"/>
      <c r="AF68" s="25">
        <v>112</v>
      </c>
      <c r="AG68" s="25"/>
      <c r="AH68" s="25">
        <v>113.3</v>
      </c>
      <c r="AI68" s="25"/>
      <c r="AJ68" s="25">
        <v>117.2</v>
      </c>
      <c r="AK68" s="25"/>
      <c r="AL68" s="25">
        <v>108.8</v>
      </c>
      <c r="AM68" s="25"/>
      <c r="AN68" s="25">
        <v>114.1</v>
      </c>
      <c r="AO68" s="25"/>
      <c r="AP68" s="25">
        <v>121.1</v>
      </c>
    </row>
    <row r="69" spans="1:42" hidden="1" x14ac:dyDescent="0.3">
      <c r="A69" s="25" t="s">
        <v>33</v>
      </c>
      <c r="B69" s="25">
        <v>2014</v>
      </c>
      <c r="C69" s="25" t="s">
        <v>45</v>
      </c>
      <c r="D69" s="26">
        <f>DATE(B69,MATCH(TRIM(C69),{"January","February","March","April","May","June","July","August","September","October","November","December"},0),1)</f>
        <v>41944</v>
      </c>
      <c r="E69" s="25">
        <v>124.5</v>
      </c>
      <c r="F69" s="25">
        <v>125.6</v>
      </c>
      <c r="G69" s="25">
        <v>122.7</v>
      </c>
      <c r="H69" s="25">
        <v>124.6</v>
      </c>
      <c r="I69" s="25">
        <v>103.2</v>
      </c>
      <c r="J69" s="25">
        <v>122.2</v>
      </c>
      <c r="K69" s="25">
        <v>153.19999999999999</v>
      </c>
      <c r="L69" s="25">
        <v>119.3</v>
      </c>
      <c r="M69" s="25">
        <v>99.8</v>
      </c>
      <c r="N69" s="25">
        <v>124.6</v>
      </c>
      <c r="O69" s="25">
        <v>115.8</v>
      </c>
      <c r="P69" s="25">
        <v>126.9</v>
      </c>
      <c r="Q69" s="25">
        <v>125.4</v>
      </c>
      <c r="R69" s="25"/>
      <c r="S69" s="25">
        <v>125.8</v>
      </c>
      <c r="T69" s="25"/>
      <c r="U69" s="25">
        <v>120.3</v>
      </c>
      <c r="V69" s="25">
        <v>115.4</v>
      </c>
      <c r="W69" s="25">
        <v>119.5</v>
      </c>
      <c r="X69" s="25"/>
      <c r="Y69" s="25">
        <v>117.1</v>
      </c>
      <c r="Z69" s="25">
        <v>112.6</v>
      </c>
      <c r="AA69" s="25"/>
      <c r="AB69" s="25">
        <v>116.4</v>
      </c>
      <c r="AC69" s="25"/>
      <c r="AD69" s="25">
        <v>113</v>
      </c>
      <c r="AE69" s="25"/>
      <c r="AF69" s="25">
        <v>109.7</v>
      </c>
      <c r="AG69" s="25"/>
      <c r="AH69" s="25">
        <v>114</v>
      </c>
      <c r="AI69" s="25"/>
      <c r="AJ69" s="25">
        <v>120.3</v>
      </c>
      <c r="AK69" s="25"/>
      <c r="AL69" s="25">
        <v>109.6</v>
      </c>
      <c r="AM69" s="25"/>
      <c r="AN69" s="25">
        <v>113.4</v>
      </c>
      <c r="AO69" s="25"/>
      <c r="AP69" s="25">
        <v>119</v>
      </c>
    </row>
    <row r="70" spans="1:42" hidden="1" x14ac:dyDescent="0.3">
      <c r="A70" s="25" t="s">
        <v>34</v>
      </c>
      <c r="B70" s="25">
        <v>2014</v>
      </c>
      <c r="C70" s="25" t="s">
        <v>45</v>
      </c>
      <c r="D70" s="26">
        <f>DATE(B70,MATCH(TRIM(C70),{"January","February","March","April","May","June","July","August","September","October","November","December"},0),1)</f>
        <v>41944</v>
      </c>
      <c r="E70" s="25">
        <v>123.3</v>
      </c>
      <c r="F70" s="25">
        <v>123.7</v>
      </c>
      <c r="G70" s="25">
        <v>121</v>
      </c>
      <c r="H70" s="25">
        <v>124.2</v>
      </c>
      <c r="I70" s="25">
        <v>107.8</v>
      </c>
      <c r="J70" s="25">
        <v>125.7</v>
      </c>
      <c r="K70" s="25">
        <v>152.4</v>
      </c>
      <c r="L70" s="25">
        <v>117.2</v>
      </c>
      <c r="M70" s="25">
        <v>102.1</v>
      </c>
      <c r="N70" s="25">
        <v>118.7</v>
      </c>
      <c r="O70" s="25">
        <v>116.4</v>
      </c>
      <c r="P70" s="25">
        <v>125.6</v>
      </c>
      <c r="Q70" s="25">
        <v>125.1</v>
      </c>
      <c r="R70" s="25"/>
      <c r="S70" s="25">
        <v>122.1</v>
      </c>
      <c r="T70" s="25"/>
      <c r="U70" s="25">
        <v>122.1</v>
      </c>
      <c r="V70" s="25">
        <v>118.4</v>
      </c>
      <c r="W70" s="25">
        <v>121.6</v>
      </c>
      <c r="X70" s="25"/>
      <c r="Y70" s="25">
        <v>117.1</v>
      </c>
      <c r="Z70" s="25">
        <v>115.5</v>
      </c>
      <c r="AA70" s="25"/>
      <c r="AB70" s="25">
        <v>117.3</v>
      </c>
      <c r="AC70" s="25"/>
      <c r="AD70" s="25">
        <v>114.8</v>
      </c>
      <c r="AE70" s="25"/>
      <c r="AF70" s="25">
        <v>110.8</v>
      </c>
      <c r="AG70" s="25"/>
      <c r="AH70" s="25">
        <v>113.7</v>
      </c>
      <c r="AI70" s="25"/>
      <c r="AJ70" s="25">
        <v>119</v>
      </c>
      <c r="AK70" s="25"/>
      <c r="AL70" s="25">
        <v>109.1</v>
      </c>
      <c r="AM70" s="25"/>
      <c r="AN70" s="25">
        <v>113.8</v>
      </c>
      <c r="AO70" s="25"/>
      <c r="AP70" s="25">
        <v>120.1</v>
      </c>
    </row>
    <row r="71" spans="1:42" hidden="1" x14ac:dyDescent="0.3">
      <c r="A71" s="25" t="s">
        <v>30</v>
      </c>
      <c r="B71" s="25">
        <v>2014</v>
      </c>
      <c r="C71" s="25" t="s">
        <v>46</v>
      </c>
      <c r="D71" s="26">
        <f>DATE(B71,MATCH(TRIM(C71),{"January","February","March","April","May","June","July","August","September","October","November","December"},0),1)</f>
        <v>41974</v>
      </c>
      <c r="E71" s="25">
        <v>122.4</v>
      </c>
      <c r="F71" s="25">
        <v>122.4</v>
      </c>
      <c r="G71" s="25">
        <v>121.8</v>
      </c>
      <c r="H71" s="25">
        <v>124.2</v>
      </c>
      <c r="I71" s="25">
        <v>110.2</v>
      </c>
      <c r="J71" s="25">
        <v>128.6</v>
      </c>
      <c r="K71" s="25">
        <v>140.30000000000001</v>
      </c>
      <c r="L71" s="25">
        <v>116.3</v>
      </c>
      <c r="M71" s="25">
        <v>102</v>
      </c>
      <c r="N71" s="25">
        <v>116</v>
      </c>
      <c r="O71" s="25">
        <v>117.3</v>
      </c>
      <c r="P71" s="25">
        <v>124.8</v>
      </c>
      <c r="Q71" s="25">
        <v>123.3</v>
      </c>
      <c r="R71" s="25"/>
      <c r="S71" s="25">
        <v>121.7</v>
      </c>
      <c r="T71" s="25"/>
      <c r="U71" s="25">
        <v>123.8</v>
      </c>
      <c r="V71" s="25">
        <v>120.6</v>
      </c>
      <c r="W71" s="25">
        <v>123.3</v>
      </c>
      <c r="X71" s="25"/>
      <c r="Y71" s="25" t="s">
        <v>32</v>
      </c>
      <c r="Z71" s="25">
        <v>117.4</v>
      </c>
      <c r="AA71" s="25"/>
      <c r="AB71" s="25">
        <v>118.2</v>
      </c>
      <c r="AC71" s="25"/>
      <c r="AD71" s="25">
        <v>116.2</v>
      </c>
      <c r="AE71" s="25"/>
      <c r="AF71" s="25">
        <v>111.5</v>
      </c>
      <c r="AG71" s="25"/>
      <c r="AH71" s="25">
        <v>113.3</v>
      </c>
      <c r="AI71" s="25"/>
      <c r="AJ71" s="25">
        <v>117.7</v>
      </c>
      <c r="AK71" s="25"/>
      <c r="AL71" s="25">
        <v>109.4</v>
      </c>
      <c r="AM71" s="25"/>
      <c r="AN71" s="25">
        <v>114.2</v>
      </c>
      <c r="AO71" s="25"/>
      <c r="AP71" s="25">
        <v>120.3</v>
      </c>
    </row>
    <row r="72" spans="1:42" hidden="1" x14ac:dyDescent="0.3">
      <c r="A72" s="25" t="s">
        <v>33</v>
      </c>
      <c r="B72" s="25">
        <v>2014</v>
      </c>
      <c r="C72" s="25" t="s">
        <v>46</v>
      </c>
      <c r="D72" s="26">
        <f>DATE(B72,MATCH(TRIM(C72),{"January","February","March","April","May","June","July","August","September","October","November","December"},0),1)</f>
        <v>41974</v>
      </c>
      <c r="E72" s="25">
        <v>124</v>
      </c>
      <c r="F72" s="25">
        <v>124.7</v>
      </c>
      <c r="G72" s="25">
        <v>126.3</v>
      </c>
      <c r="H72" s="25">
        <v>124.9</v>
      </c>
      <c r="I72" s="25">
        <v>103</v>
      </c>
      <c r="J72" s="25">
        <v>122.3</v>
      </c>
      <c r="K72" s="25">
        <v>141</v>
      </c>
      <c r="L72" s="25">
        <v>120.1</v>
      </c>
      <c r="M72" s="25">
        <v>97.8</v>
      </c>
      <c r="N72" s="25">
        <v>125.4</v>
      </c>
      <c r="O72" s="25">
        <v>116.1</v>
      </c>
      <c r="P72" s="25">
        <v>127.6</v>
      </c>
      <c r="Q72" s="25">
        <v>124</v>
      </c>
      <c r="R72" s="25"/>
      <c r="S72" s="25">
        <v>126.4</v>
      </c>
      <c r="T72" s="25"/>
      <c r="U72" s="25">
        <v>120.7</v>
      </c>
      <c r="V72" s="25">
        <v>115.8</v>
      </c>
      <c r="W72" s="25">
        <v>120</v>
      </c>
      <c r="X72" s="25"/>
      <c r="Y72" s="25">
        <v>116.5</v>
      </c>
      <c r="Z72" s="25">
        <v>113</v>
      </c>
      <c r="AA72" s="25"/>
      <c r="AB72" s="25">
        <v>116.8</v>
      </c>
      <c r="AC72" s="25"/>
      <c r="AD72" s="25">
        <v>113.2</v>
      </c>
      <c r="AE72" s="25"/>
      <c r="AF72" s="25">
        <v>108.8</v>
      </c>
      <c r="AG72" s="25"/>
      <c r="AH72" s="25">
        <v>114.3</v>
      </c>
      <c r="AI72" s="25"/>
      <c r="AJ72" s="25">
        <v>120.7</v>
      </c>
      <c r="AK72" s="25"/>
      <c r="AL72" s="25">
        <v>110.4</v>
      </c>
      <c r="AM72" s="25"/>
      <c r="AN72" s="25">
        <v>113.4</v>
      </c>
      <c r="AO72" s="25"/>
      <c r="AP72" s="25">
        <v>118.4</v>
      </c>
    </row>
    <row r="73" spans="1:42" hidden="1" x14ac:dyDescent="0.3">
      <c r="A73" s="25" t="s">
        <v>34</v>
      </c>
      <c r="B73" s="25">
        <v>2014</v>
      </c>
      <c r="C73" s="25" t="s">
        <v>46</v>
      </c>
      <c r="D73" s="26">
        <f>DATE(B73,MATCH(TRIM(C73),{"January","February","March","April","May","June","July","August","September","October","November","December"},0),1)</f>
        <v>41974</v>
      </c>
      <c r="E73" s="25">
        <v>122.9</v>
      </c>
      <c r="F73" s="25">
        <v>123.2</v>
      </c>
      <c r="G73" s="25">
        <v>123.5</v>
      </c>
      <c r="H73" s="25">
        <v>124.5</v>
      </c>
      <c r="I73" s="25">
        <v>107.6</v>
      </c>
      <c r="J73" s="25">
        <v>125.7</v>
      </c>
      <c r="K73" s="25">
        <v>140.5</v>
      </c>
      <c r="L73" s="25">
        <v>117.6</v>
      </c>
      <c r="M73" s="25">
        <v>100.6</v>
      </c>
      <c r="N73" s="25">
        <v>119.1</v>
      </c>
      <c r="O73" s="25">
        <v>116.8</v>
      </c>
      <c r="P73" s="25">
        <v>126.1</v>
      </c>
      <c r="Q73" s="25">
        <v>123.6</v>
      </c>
      <c r="R73" s="25"/>
      <c r="S73" s="25">
        <v>123</v>
      </c>
      <c r="T73" s="25"/>
      <c r="U73" s="25">
        <v>122.6</v>
      </c>
      <c r="V73" s="25">
        <v>118.6</v>
      </c>
      <c r="W73" s="25">
        <v>122</v>
      </c>
      <c r="X73" s="25"/>
      <c r="Y73" s="25">
        <v>116.5</v>
      </c>
      <c r="Z73" s="25">
        <v>115.7</v>
      </c>
      <c r="AA73" s="25"/>
      <c r="AB73" s="25">
        <v>117.5</v>
      </c>
      <c r="AC73" s="25"/>
      <c r="AD73" s="25">
        <v>115.1</v>
      </c>
      <c r="AE73" s="25"/>
      <c r="AF73" s="25">
        <v>110.1</v>
      </c>
      <c r="AG73" s="25"/>
      <c r="AH73" s="25">
        <v>113.9</v>
      </c>
      <c r="AI73" s="25"/>
      <c r="AJ73" s="25">
        <v>119.5</v>
      </c>
      <c r="AK73" s="25"/>
      <c r="AL73" s="25">
        <v>109.8</v>
      </c>
      <c r="AM73" s="25"/>
      <c r="AN73" s="25">
        <v>113.8</v>
      </c>
      <c r="AO73" s="25"/>
      <c r="AP73" s="25">
        <v>119.4</v>
      </c>
    </row>
    <row r="74" spans="1:42" hidden="1" x14ac:dyDescent="0.3">
      <c r="A74" s="25" t="s">
        <v>30</v>
      </c>
      <c r="B74" s="25">
        <v>2015</v>
      </c>
      <c r="C74" s="25" t="s">
        <v>31</v>
      </c>
      <c r="D74" s="26">
        <f>DATE(B74,MATCH(TRIM(C74),{"January","February","March","April","May","June","July","August","September","October","November","December"},0),1)</f>
        <v>42005</v>
      </c>
      <c r="E74" s="25">
        <v>123.1</v>
      </c>
      <c r="F74" s="25">
        <v>123.1</v>
      </c>
      <c r="G74" s="25">
        <v>122.1</v>
      </c>
      <c r="H74" s="25">
        <v>124.9</v>
      </c>
      <c r="I74" s="25">
        <v>111</v>
      </c>
      <c r="J74" s="25">
        <v>130.4</v>
      </c>
      <c r="K74" s="25">
        <v>132.30000000000001</v>
      </c>
      <c r="L74" s="25">
        <v>117.2</v>
      </c>
      <c r="M74" s="25">
        <v>100.5</v>
      </c>
      <c r="N74" s="25">
        <v>117.2</v>
      </c>
      <c r="O74" s="25">
        <v>117.9</v>
      </c>
      <c r="P74" s="25">
        <v>125.6</v>
      </c>
      <c r="Q74" s="25">
        <v>122.8</v>
      </c>
      <c r="R74" s="25"/>
      <c r="S74" s="25">
        <v>122.7</v>
      </c>
      <c r="T74" s="25"/>
      <c r="U74" s="25">
        <v>124.4</v>
      </c>
      <c r="V74" s="25">
        <v>121.6</v>
      </c>
      <c r="W74" s="25">
        <v>124</v>
      </c>
      <c r="X74" s="25"/>
      <c r="Y74" s="25" t="s">
        <v>32</v>
      </c>
      <c r="Z74" s="25">
        <v>118.4</v>
      </c>
      <c r="AA74" s="25"/>
      <c r="AB74" s="25">
        <v>118.9</v>
      </c>
      <c r="AC74" s="25"/>
      <c r="AD74" s="25">
        <v>116.6</v>
      </c>
      <c r="AE74" s="25"/>
      <c r="AF74" s="25">
        <v>111</v>
      </c>
      <c r="AG74" s="25"/>
      <c r="AH74" s="25">
        <v>114</v>
      </c>
      <c r="AI74" s="25"/>
      <c r="AJ74" s="25">
        <v>118.2</v>
      </c>
      <c r="AK74" s="25"/>
      <c r="AL74" s="25">
        <v>110.2</v>
      </c>
      <c r="AM74" s="25"/>
      <c r="AN74" s="25">
        <v>114.5</v>
      </c>
      <c r="AO74" s="25"/>
      <c r="AP74" s="25">
        <v>120.3</v>
      </c>
    </row>
    <row r="75" spans="1:42" hidden="1" x14ac:dyDescent="0.3">
      <c r="A75" s="25" t="s">
        <v>33</v>
      </c>
      <c r="B75" s="25">
        <v>2015</v>
      </c>
      <c r="C75" s="25" t="s">
        <v>31</v>
      </c>
      <c r="D75" s="26">
        <f>DATE(B75,MATCH(TRIM(C75),{"January","February","March","April","May","June","July","August","September","October","November","December"},0),1)</f>
        <v>42005</v>
      </c>
      <c r="E75" s="25">
        <v>124</v>
      </c>
      <c r="F75" s="25">
        <v>125.5</v>
      </c>
      <c r="G75" s="25">
        <v>126.6</v>
      </c>
      <c r="H75" s="25">
        <v>125.2</v>
      </c>
      <c r="I75" s="25">
        <v>104.3</v>
      </c>
      <c r="J75" s="25">
        <v>121.3</v>
      </c>
      <c r="K75" s="25">
        <v>134.4</v>
      </c>
      <c r="L75" s="25">
        <v>122.9</v>
      </c>
      <c r="M75" s="25">
        <v>96.1</v>
      </c>
      <c r="N75" s="25">
        <v>126.6</v>
      </c>
      <c r="O75" s="25">
        <v>116.5</v>
      </c>
      <c r="P75" s="25">
        <v>128</v>
      </c>
      <c r="Q75" s="25">
        <v>123.5</v>
      </c>
      <c r="R75" s="25"/>
      <c r="S75" s="25">
        <v>127.4</v>
      </c>
      <c r="T75" s="25"/>
      <c r="U75" s="25">
        <v>121</v>
      </c>
      <c r="V75" s="25">
        <v>116.1</v>
      </c>
      <c r="W75" s="25">
        <v>120.2</v>
      </c>
      <c r="X75" s="25"/>
      <c r="Y75" s="25">
        <v>117.3</v>
      </c>
      <c r="Z75" s="25">
        <v>113.4</v>
      </c>
      <c r="AA75" s="25"/>
      <c r="AB75" s="25">
        <v>117.2</v>
      </c>
      <c r="AC75" s="25"/>
      <c r="AD75" s="25">
        <v>113.7</v>
      </c>
      <c r="AE75" s="25"/>
      <c r="AF75" s="25">
        <v>107.9</v>
      </c>
      <c r="AG75" s="25"/>
      <c r="AH75" s="25">
        <v>114.6</v>
      </c>
      <c r="AI75" s="25"/>
      <c r="AJ75" s="25">
        <v>120.8</v>
      </c>
      <c r="AK75" s="25"/>
      <c r="AL75" s="25">
        <v>111.4</v>
      </c>
      <c r="AM75" s="25"/>
      <c r="AN75" s="25">
        <v>113.4</v>
      </c>
      <c r="AO75" s="25"/>
      <c r="AP75" s="25">
        <v>118.5</v>
      </c>
    </row>
    <row r="76" spans="1:42" hidden="1" x14ac:dyDescent="0.3">
      <c r="A76" s="25" t="s">
        <v>34</v>
      </c>
      <c r="B76" s="25">
        <v>2015</v>
      </c>
      <c r="C76" s="25" t="s">
        <v>31</v>
      </c>
      <c r="D76" s="26">
        <f>DATE(B76,MATCH(TRIM(C76),{"January","February","March","April","May","June","July","August","September","October","November","December"},0),1)</f>
        <v>42005</v>
      </c>
      <c r="E76" s="25">
        <v>123.4</v>
      </c>
      <c r="F76" s="25">
        <v>123.9</v>
      </c>
      <c r="G76" s="25">
        <v>123.8</v>
      </c>
      <c r="H76" s="25">
        <v>125</v>
      </c>
      <c r="I76" s="25">
        <v>108.5</v>
      </c>
      <c r="J76" s="25">
        <v>126.2</v>
      </c>
      <c r="K76" s="25">
        <v>133</v>
      </c>
      <c r="L76" s="25">
        <v>119.1</v>
      </c>
      <c r="M76" s="25">
        <v>99</v>
      </c>
      <c r="N76" s="25">
        <v>120.3</v>
      </c>
      <c r="O76" s="25">
        <v>117.3</v>
      </c>
      <c r="P76" s="25">
        <v>126.7</v>
      </c>
      <c r="Q76" s="25">
        <v>123.1</v>
      </c>
      <c r="R76" s="25"/>
      <c r="S76" s="25">
        <v>124</v>
      </c>
      <c r="T76" s="25"/>
      <c r="U76" s="25">
        <v>123.1</v>
      </c>
      <c r="V76" s="25">
        <v>119.3</v>
      </c>
      <c r="W76" s="25">
        <v>122.5</v>
      </c>
      <c r="X76" s="25"/>
      <c r="Y76" s="25">
        <v>117.3</v>
      </c>
      <c r="Z76" s="25">
        <v>116.5</v>
      </c>
      <c r="AA76" s="25"/>
      <c r="AB76" s="25">
        <v>118.1</v>
      </c>
      <c r="AC76" s="25"/>
      <c r="AD76" s="25">
        <v>115.5</v>
      </c>
      <c r="AE76" s="25"/>
      <c r="AF76" s="25">
        <v>109.4</v>
      </c>
      <c r="AG76" s="25"/>
      <c r="AH76" s="25">
        <v>114.3</v>
      </c>
      <c r="AI76" s="25"/>
      <c r="AJ76" s="25">
        <v>119.7</v>
      </c>
      <c r="AK76" s="25"/>
      <c r="AL76" s="25">
        <v>110.7</v>
      </c>
      <c r="AM76" s="25"/>
      <c r="AN76" s="25">
        <v>114</v>
      </c>
      <c r="AO76" s="25"/>
      <c r="AP76" s="25">
        <v>119.5</v>
      </c>
    </row>
    <row r="77" spans="1:42" hidden="1" x14ac:dyDescent="0.3">
      <c r="A77" s="25" t="s">
        <v>30</v>
      </c>
      <c r="B77" s="25">
        <v>2015</v>
      </c>
      <c r="C77" s="25" t="s">
        <v>35</v>
      </c>
      <c r="D77" s="26">
        <f>DATE(B77,MATCH(TRIM(C77),{"January","February","March","April","May","June","July","August","September","October","November","December"},0),1)</f>
        <v>42036</v>
      </c>
      <c r="E77" s="25">
        <v>123.4</v>
      </c>
      <c r="F77" s="25">
        <v>124.4</v>
      </c>
      <c r="G77" s="25">
        <v>122.1</v>
      </c>
      <c r="H77" s="25">
        <v>125.8</v>
      </c>
      <c r="I77" s="25">
        <v>111.5</v>
      </c>
      <c r="J77" s="25">
        <v>129.4</v>
      </c>
      <c r="K77" s="25">
        <v>128.19999999999999</v>
      </c>
      <c r="L77" s="25">
        <v>118.8</v>
      </c>
      <c r="M77" s="25">
        <v>100</v>
      </c>
      <c r="N77" s="25">
        <v>118.6</v>
      </c>
      <c r="O77" s="25">
        <v>118.8</v>
      </c>
      <c r="P77" s="25">
        <v>126.8</v>
      </c>
      <c r="Q77" s="25">
        <v>122.8</v>
      </c>
      <c r="R77" s="25"/>
      <c r="S77" s="25">
        <v>124.2</v>
      </c>
      <c r="T77" s="25"/>
      <c r="U77" s="25">
        <v>125.4</v>
      </c>
      <c r="V77" s="25">
        <v>122.7</v>
      </c>
      <c r="W77" s="25">
        <v>125</v>
      </c>
      <c r="X77" s="25"/>
      <c r="Y77" s="25" t="s">
        <v>32</v>
      </c>
      <c r="Z77" s="25">
        <v>120</v>
      </c>
      <c r="AA77" s="25"/>
      <c r="AB77" s="25">
        <v>119.6</v>
      </c>
      <c r="AC77" s="25"/>
      <c r="AD77" s="25">
        <v>117.7</v>
      </c>
      <c r="AE77" s="25"/>
      <c r="AF77" s="25">
        <v>110.9</v>
      </c>
      <c r="AG77" s="25"/>
      <c r="AH77" s="25">
        <v>114.8</v>
      </c>
      <c r="AI77" s="25"/>
      <c r="AJ77" s="25">
        <v>118.7</v>
      </c>
      <c r="AK77" s="25"/>
      <c r="AL77" s="25">
        <v>110.8</v>
      </c>
      <c r="AM77" s="25"/>
      <c r="AN77" s="25">
        <v>115</v>
      </c>
      <c r="AO77" s="25"/>
      <c r="AP77" s="25">
        <v>120.6</v>
      </c>
    </row>
    <row r="78" spans="1:42" hidden="1" x14ac:dyDescent="0.3">
      <c r="A78" s="25" t="s">
        <v>33</v>
      </c>
      <c r="B78" s="25">
        <v>2015</v>
      </c>
      <c r="C78" s="25" t="s">
        <v>35</v>
      </c>
      <c r="D78" s="26">
        <f>DATE(B78,MATCH(TRIM(C78),{"January","February","March","April","May","June","July","August","September","October","November","December"},0),1)</f>
        <v>42036</v>
      </c>
      <c r="E78" s="25">
        <v>124.3</v>
      </c>
      <c r="F78" s="25">
        <v>126.5</v>
      </c>
      <c r="G78" s="25">
        <v>119.5</v>
      </c>
      <c r="H78" s="25">
        <v>125.6</v>
      </c>
      <c r="I78" s="25">
        <v>104.9</v>
      </c>
      <c r="J78" s="25">
        <v>121.6</v>
      </c>
      <c r="K78" s="25">
        <v>131.80000000000001</v>
      </c>
      <c r="L78" s="25">
        <v>125.1</v>
      </c>
      <c r="M78" s="25">
        <v>95</v>
      </c>
      <c r="N78" s="25">
        <v>127.7</v>
      </c>
      <c r="O78" s="25">
        <v>116.8</v>
      </c>
      <c r="P78" s="25">
        <v>128.6</v>
      </c>
      <c r="Q78" s="25">
        <v>123.7</v>
      </c>
      <c r="R78" s="25"/>
      <c r="S78" s="25">
        <v>128.1</v>
      </c>
      <c r="T78" s="25"/>
      <c r="U78" s="25">
        <v>121.3</v>
      </c>
      <c r="V78" s="25">
        <v>116.5</v>
      </c>
      <c r="W78" s="25">
        <v>120.6</v>
      </c>
      <c r="X78" s="25"/>
      <c r="Y78" s="25">
        <v>118.1</v>
      </c>
      <c r="Z78" s="25">
        <v>114</v>
      </c>
      <c r="AA78" s="25"/>
      <c r="AB78" s="25">
        <v>117.7</v>
      </c>
      <c r="AC78" s="25"/>
      <c r="AD78" s="25">
        <v>114.1</v>
      </c>
      <c r="AE78" s="25"/>
      <c r="AF78" s="25">
        <v>106.8</v>
      </c>
      <c r="AG78" s="25"/>
      <c r="AH78" s="25">
        <v>114.9</v>
      </c>
      <c r="AI78" s="25"/>
      <c r="AJ78" s="25">
        <v>120.4</v>
      </c>
      <c r="AK78" s="25"/>
      <c r="AL78" s="25">
        <v>111.7</v>
      </c>
      <c r="AM78" s="25"/>
      <c r="AN78" s="25">
        <v>113.2</v>
      </c>
      <c r="AO78" s="25"/>
      <c r="AP78" s="25">
        <v>118.7</v>
      </c>
    </row>
    <row r="79" spans="1:42" hidden="1" x14ac:dyDescent="0.3">
      <c r="A79" s="25" t="s">
        <v>34</v>
      </c>
      <c r="B79" s="25">
        <v>2015</v>
      </c>
      <c r="C79" s="25" t="s">
        <v>35</v>
      </c>
      <c r="D79" s="26">
        <f>DATE(B79,MATCH(TRIM(C79),{"January","February","March","April","May","June","July","August","September","October","November","December"},0),1)</f>
        <v>42036</v>
      </c>
      <c r="E79" s="25">
        <v>123.7</v>
      </c>
      <c r="F79" s="25">
        <v>125.1</v>
      </c>
      <c r="G79" s="25">
        <v>121.1</v>
      </c>
      <c r="H79" s="25">
        <v>125.7</v>
      </c>
      <c r="I79" s="25">
        <v>109.1</v>
      </c>
      <c r="J79" s="25">
        <v>125.8</v>
      </c>
      <c r="K79" s="25">
        <v>129.4</v>
      </c>
      <c r="L79" s="25">
        <v>120.9</v>
      </c>
      <c r="M79" s="25">
        <v>98.3</v>
      </c>
      <c r="N79" s="25">
        <v>121.6</v>
      </c>
      <c r="O79" s="25">
        <v>118</v>
      </c>
      <c r="P79" s="25">
        <v>127.6</v>
      </c>
      <c r="Q79" s="25">
        <v>123.1</v>
      </c>
      <c r="R79" s="25"/>
      <c r="S79" s="25">
        <v>125.2</v>
      </c>
      <c r="T79" s="25"/>
      <c r="U79" s="25">
        <v>123.8</v>
      </c>
      <c r="V79" s="25">
        <v>120.1</v>
      </c>
      <c r="W79" s="25">
        <v>123.3</v>
      </c>
      <c r="X79" s="25"/>
      <c r="Y79" s="25">
        <v>118.1</v>
      </c>
      <c r="Z79" s="25">
        <v>117.7</v>
      </c>
      <c r="AA79" s="25"/>
      <c r="AB79" s="25">
        <v>118.7</v>
      </c>
      <c r="AC79" s="25"/>
      <c r="AD79" s="25">
        <v>116.3</v>
      </c>
      <c r="AE79" s="25"/>
      <c r="AF79" s="25">
        <v>108.7</v>
      </c>
      <c r="AG79" s="25"/>
      <c r="AH79" s="25">
        <v>114.9</v>
      </c>
      <c r="AI79" s="25"/>
      <c r="AJ79" s="25">
        <v>119.7</v>
      </c>
      <c r="AK79" s="25"/>
      <c r="AL79" s="25">
        <v>111.2</v>
      </c>
      <c r="AM79" s="25"/>
      <c r="AN79" s="25">
        <v>114.1</v>
      </c>
      <c r="AO79" s="25"/>
      <c r="AP79" s="25">
        <v>119.7</v>
      </c>
    </row>
    <row r="80" spans="1:42" hidden="1" x14ac:dyDescent="0.3">
      <c r="A80" s="25" t="s">
        <v>30</v>
      </c>
      <c r="B80" s="25">
        <v>2015</v>
      </c>
      <c r="C80" s="25" t="s">
        <v>36</v>
      </c>
      <c r="D80" s="26">
        <f>DATE(B80,MATCH(TRIM(C80),{"January","February","March","April","May","June","July","August","September","October","November","December"},0),1)</f>
        <v>42064</v>
      </c>
      <c r="E80" s="25">
        <v>123.3</v>
      </c>
      <c r="F80" s="25">
        <v>124.7</v>
      </c>
      <c r="G80" s="25">
        <v>118.9</v>
      </c>
      <c r="H80" s="25">
        <v>126</v>
      </c>
      <c r="I80" s="25">
        <v>111.8</v>
      </c>
      <c r="J80" s="25">
        <v>130.9</v>
      </c>
      <c r="K80" s="25">
        <v>128</v>
      </c>
      <c r="L80" s="25">
        <v>119.9</v>
      </c>
      <c r="M80" s="25">
        <v>98.9</v>
      </c>
      <c r="N80" s="25">
        <v>119.4</v>
      </c>
      <c r="O80" s="25">
        <v>118.9</v>
      </c>
      <c r="P80" s="25">
        <v>127.7</v>
      </c>
      <c r="Q80" s="25">
        <v>123.1</v>
      </c>
      <c r="R80" s="25"/>
      <c r="S80" s="25">
        <v>124.7</v>
      </c>
      <c r="T80" s="25"/>
      <c r="U80" s="25">
        <v>126</v>
      </c>
      <c r="V80" s="25">
        <v>122.9</v>
      </c>
      <c r="W80" s="25">
        <v>125.5</v>
      </c>
      <c r="X80" s="25"/>
      <c r="Y80" s="25" t="s">
        <v>32</v>
      </c>
      <c r="Z80" s="25">
        <v>120.6</v>
      </c>
      <c r="AA80" s="25"/>
      <c r="AB80" s="25">
        <v>120.2</v>
      </c>
      <c r="AC80" s="25"/>
      <c r="AD80" s="25">
        <v>118.2</v>
      </c>
      <c r="AE80" s="25"/>
      <c r="AF80" s="25">
        <v>111.6</v>
      </c>
      <c r="AG80" s="25"/>
      <c r="AH80" s="25">
        <v>115.5</v>
      </c>
      <c r="AI80" s="25"/>
      <c r="AJ80" s="25">
        <v>119.4</v>
      </c>
      <c r="AK80" s="25"/>
      <c r="AL80" s="25">
        <v>110.8</v>
      </c>
      <c r="AM80" s="25"/>
      <c r="AN80" s="25">
        <v>115.5</v>
      </c>
      <c r="AO80" s="25"/>
      <c r="AP80" s="25">
        <v>121.1</v>
      </c>
    </row>
    <row r="81" spans="1:42" hidden="1" x14ac:dyDescent="0.3">
      <c r="A81" s="25" t="s">
        <v>33</v>
      </c>
      <c r="B81" s="25">
        <v>2015</v>
      </c>
      <c r="C81" s="25" t="s">
        <v>36</v>
      </c>
      <c r="D81" s="26">
        <f>DATE(B81,MATCH(TRIM(C81),{"January","February","March","April","May","June","July","August","September","October","November","December"},0),1)</f>
        <v>42064</v>
      </c>
      <c r="E81" s="25">
        <v>124</v>
      </c>
      <c r="F81" s="25">
        <v>126.7</v>
      </c>
      <c r="G81" s="25">
        <v>113.5</v>
      </c>
      <c r="H81" s="25">
        <v>125.9</v>
      </c>
      <c r="I81" s="25">
        <v>104.8</v>
      </c>
      <c r="J81" s="25">
        <v>123.8</v>
      </c>
      <c r="K81" s="25">
        <v>131.4</v>
      </c>
      <c r="L81" s="25">
        <v>127.2</v>
      </c>
      <c r="M81" s="25">
        <v>93.2</v>
      </c>
      <c r="N81" s="25">
        <v>127.4</v>
      </c>
      <c r="O81" s="25">
        <v>117</v>
      </c>
      <c r="P81" s="25">
        <v>129.19999999999999</v>
      </c>
      <c r="Q81" s="25">
        <v>123.9</v>
      </c>
      <c r="R81" s="25"/>
      <c r="S81" s="25">
        <v>128.80000000000001</v>
      </c>
      <c r="T81" s="25"/>
      <c r="U81" s="25">
        <v>121.7</v>
      </c>
      <c r="V81" s="25">
        <v>116.9</v>
      </c>
      <c r="W81" s="25">
        <v>120.9</v>
      </c>
      <c r="X81" s="25"/>
      <c r="Y81" s="25">
        <v>118.6</v>
      </c>
      <c r="Z81" s="25">
        <v>114.4</v>
      </c>
      <c r="AA81" s="25"/>
      <c r="AB81" s="25">
        <v>118</v>
      </c>
      <c r="AC81" s="25"/>
      <c r="AD81" s="25">
        <v>114.3</v>
      </c>
      <c r="AE81" s="25"/>
      <c r="AF81" s="25">
        <v>108.4</v>
      </c>
      <c r="AG81" s="25"/>
      <c r="AH81" s="25">
        <v>115.4</v>
      </c>
      <c r="AI81" s="25"/>
      <c r="AJ81" s="25">
        <v>120.6</v>
      </c>
      <c r="AK81" s="25"/>
      <c r="AL81" s="25">
        <v>111.3</v>
      </c>
      <c r="AM81" s="25"/>
      <c r="AN81" s="25">
        <v>113.8</v>
      </c>
      <c r="AO81" s="25"/>
      <c r="AP81" s="25">
        <v>119.1</v>
      </c>
    </row>
    <row r="82" spans="1:42" hidden="1" x14ac:dyDescent="0.3">
      <c r="A82" s="25" t="s">
        <v>34</v>
      </c>
      <c r="B82" s="25">
        <v>2015</v>
      </c>
      <c r="C82" s="25" t="s">
        <v>36</v>
      </c>
      <c r="D82" s="26">
        <f>DATE(B82,MATCH(TRIM(C82),{"January","February","March","April","May","June","July","August","September","October","November","December"},0),1)</f>
        <v>42064</v>
      </c>
      <c r="E82" s="25">
        <v>123.5</v>
      </c>
      <c r="F82" s="25">
        <v>125.4</v>
      </c>
      <c r="G82" s="25">
        <v>116.8</v>
      </c>
      <c r="H82" s="25">
        <v>126</v>
      </c>
      <c r="I82" s="25">
        <v>109.2</v>
      </c>
      <c r="J82" s="25">
        <v>127.6</v>
      </c>
      <c r="K82" s="25">
        <v>129.19999999999999</v>
      </c>
      <c r="L82" s="25">
        <v>122.4</v>
      </c>
      <c r="M82" s="25">
        <v>97</v>
      </c>
      <c r="N82" s="25">
        <v>122.1</v>
      </c>
      <c r="O82" s="25">
        <v>118.1</v>
      </c>
      <c r="P82" s="25">
        <v>128.4</v>
      </c>
      <c r="Q82" s="25">
        <v>123.4</v>
      </c>
      <c r="R82" s="25"/>
      <c r="S82" s="25">
        <v>125.8</v>
      </c>
      <c r="T82" s="25"/>
      <c r="U82" s="25">
        <v>124.3</v>
      </c>
      <c r="V82" s="25">
        <v>120.4</v>
      </c>
      <c r="W82" s="25">
        <v>123.7</v>
      </c>
      <c r="X82" s="25"/>
      <c r="Y82" s="25">
        <v>118.6</v>
      </c>
      <c r="Z82" s="25">
        <v>118.3</v>
      </c>
      <c r="AA82" s="25"/>
      <c r="AB82" s="25">
        <v>119.2</v>
      </c>
      <c r="AC82" s="25"/>
      <c r="AD82" s="25">
        <v>116.7</v>
      </c>
      <c r="AE82" s="25"/>
      <c r="AF82" s="25">
        <v>109.9</v>
      </c>
      <c r="AG82" s="25"/>
      <c r="AH82" s="25">
        <v>115.4</v>
      </c>
      <c r="AI82" s="25"/>
      <c r="AJ82" s="25">
        <v>120.1</v>
      </c>
      <c r="AK82" s="25"/>
      <c r="AL82" s="25">
        <v>111</v>
      </c>
      <c r="AM82" s="25"/>
      <c r="AN82" s="25">
        <v>114.7</v>
      </c>
      <c r="AO82" s="25"/>
      <c r="AP82" s="25">
        <v>120.2</v>
      </c>
    </row>
    <row r="83" spans="1:42" hidden="1" x14ac:dyDescent="0.3">
      <c r="A83" s="25" t="s">
        <v>30</v>
      </c>
      <c r="B83" s="25">
        <v>2015</v>
      </c>
      <c r="C83" s="25" t="s">
        <v>37</v>
      </c>
      <c r="D83" s="26">
        <f>DATE(B83,MATCH(TRIM(C83),{"January","February","March","April","May","June","July","August","September","October","November","December"},0),1)</f>
        <v>42095</v>
      </c>
      <c r="E83" s="25">
        <v>123.3</v>
      </c>
      <c r="F83" s="25">
        <v>125.5</v>
      </c>
      <c r="G83" s="25">
        <v>117.2</v>
      </c>
      <c r="H83" s="25">
        <v>126.8</v>
      </c>
      <c r="I83" s="25">
        <v>111.9</v>
      </c>
      <c r="J83" s="25">
        <v>134.19999999999999</v>
      </c>
      <c r="K83" s="25">
        <v>127.5</v>
      </c>
      <c r="L83" s="25">
        <v>121.5</v>
      </c>
      <c r="M83" s="25">
        <v>97.8</v>
      </c>
      <c r="N83" s="25">
        <v>119.8</v>
      </c>
      <c r="O83" s="25">
        <v>119.4</v>
      </c>
      <c r="P83" s="25">
        <v>128.69999999999999</v>
      </c>
      <c r="Q83" s="25">
        <v>123.6</v>
      </c>
      <c r="R83" s="25"/>
      <c r="S83" s="25">
        <v>125.7</v>
      </c>
      <c r="T83" s="25"/>
      <c r="U83" s="25">
        <v>126.4</v>
      </c>
      <c r="V83" s="25">
        <v>123.3</v>
      </c>
      <c r="W83" s="25">
        <v>126</v>
      </c>
      <c r="X83" s="25"/>
      <c r="Y83" s="25" t="s">
        <v>32</v>
      </c>
      <c r="Z83" s="25">
        <v>121.2</v>
      </c>
      <c r="AA83" s="25"/>
      <c r="AB83" s="25">
        <v>120.9</v>
      </c>
      <c r="AC83" s="25"/>
      <c r="AD83" s="25">
        <v>118.6</v>
      </c>
      <c r="AE83" s="25"/>
      <c r="AF83" s="25">
        <v>111.9</v>
      </c>
      <c r="AG83" s="25"/>
      <c r="AH83" s="25">
        <v>116.2</v>
      </c>
      <c r="AI83" s="25"/>
      <c r="AJ83" s="25">
        <v>119.9</v>
      </c>
      <c r="AK83" s="25"/>
      <c r="AL83" s="25">
        <v>111.6</v>
      </c>
      <c r="AM83" s="25"/>
      <c r="AN83" s="25">
        <v>116</v>
      </c>
      <c r="AO83" s="25"/>
      <c r="AP83" s="25">
        <v>121.5</v>
      </c>
    </row>
    <row r="84" spans="1:42" hidden="1" x14ac:dyDescent="0.3">
      <c r="A84" s="25" t="s">
        <v>33</v>
      </c>
      <c r="B84" s="25">
        <v>2015</v>
      </c>
      <c r="C84" s="25" t="s">
        <v>37</v>
      </c>
      <c r="D84" s="26">
        <f>DATE(B84,MATCH(TRIM(C84),{"January","February","March","April","May","June","July","August","September","October","November","December"},0),1)</f>
        <v>42095</v>
      </c>
      <c r="E84" s="25">
        <v>123.8</v>
      </c>
      <c r="F84" s="25">
        <v>128.19999999999999</v>
      </c>
      <c r="G84" s="25">
        <v>110</v>
      </c>
      <c r="H84" s="25">
        <v>126.3</v>
      </c>
      <c r="I84" s="25">
        <v>104.5</v>
      </c>
      <c r="J84" s="25">
        <v>130.6</v>
      </c>
      <c r="K84" s="25">
        <v>130.80000000000001</v>
      </c>
      <c r="L84" s="25">
        <v>131.30000000000001</v>
      </c>
      <c r="M84" s="25">
        <v>91.6</v>
      </c>
      <c r="N84" s="25">
        <v>127.7</v>
      </c>
      <c r="O84" s="25">
        <v>117.2</v>
      </c>
      <c r="P84" s="25">
        <v>129.5</v>
      </c>
      <c r="Q84" s="25">
        <v>124.6</v>
      </c>
      <c r="R84" s="25"/>
      <c r="S84" s="25">
        <v>130.1</v>
      </c>
      <c r="T84" s="25"/>
      <c r="U84" s="25">
        <v>122.1</v>
      </c>
      <c r="V84" s="25">
        <v>117.2</v>
      </c>
      <c r="W84" s="25">
        <v>121.3</v>
      </c>
      <c r="X84" s="25"/>
      <c r="Y84" s="25">
        <v>119.2</v>
      </c>
      <c r="Z84" s="25">
        <v>114.7</v>
      </c>
      <c r="AA84" s="25"/>
      <c r="AB84" s="25">
        <v>118.4</v>
      </c>
      <c r="AC84" s="25"/>
      <c r="AD84" s="25">
        <v>114.6</v>
      </c>
      <c r="AE84" s="25"/>
      <c r="AF84" s="25">
        <v>108.4</v>
      </c>
      <c r="AG84" s="25"/>
      <c r="AH84" s="25">
        <v>115.6</v>
      </c>
      <c r="AI84" s="25"/>
      <c r="AJ84" s="25">
        <v>121.7</v>
      </c>
      <c r="AK84" s="25"/>
      <c r="AL84" s="25">
        <v>111.8</v>
      </c>
      <c r="AM84" s="25"/>
      <c r="AN84" s="25">
        <v>114.2</v>
      </c>
      <c r="AO84" s="25"/>
      <c r="AP84" s="25">
        <v>119.7</v>
      </c>
    </row>
    <row r="85" spans="1:42" hidden="1" x14ac:dyDescent="0.3">
      <c r="A85" s="25" t="s">
        <v>34</v>
      </c>
      <c r="B85" s="25">
        <v>2015</v>
      </c>
      <c r="C85" s="25" t="s">
        <v>37</v>
      </c>
      <c r="D85" s="26">
        <f>DATE(B85,MATCH(TRIM(C85),{"January","February","March","April","May","June","July","August","September","October","November","December"},0),1)</f>
        <v>42095</v>
      </c>
      <c r="E85" s="25">
        <v>123.5</v>
      </c>
      <c r="F85" s="25">
        <v>126.4</v>
      </c>
      <c r="G85" s="25">
        <v>114.4</v>
      </c>
      <c r="H85" s="25">
        <v>126.6</v>
      </c>
      <c r="I85" s="25">
        <v>109.2</v>
      </c>
      <c r="J85" s="25">
        <v>132.5</v>
      </c>
      <c r="K85" s="25">
        <v>128.6</v>
      </c>
      <c r="L85" s="25">
        <v>124.8</v>
      </c>
      <c r="M85" s="25">
        <v>95.7</v>
      </c>
      <c r="N85" s="25">
        <v>122.4</v>
      </c>
      <c r="O85" s="25">
        <v>118.5</v>
      </c>
      <c r="P85" s="25">
        <v>129.1</v>
      </c>
      <c r="Q85" s="25">
        <v>124</v>
      </c>
      <c r="R85" s="25"/>
      <c r="S85" s="25">
        <v>126.9</v>
      </c>
      <c r="T85" s="25"/>
      <c r="U85" s="25">
        <v>124.7</v>
      </c>
      <c r="V85" s="25">
        <v>120.8</v>
      </c>
      <c r="W85" s="25">
        <v>124.1</v>
      </c>
      <c r="X85" s="25"/>
      <c r="Y85" s="25">
        <v>119.2</v>
      </c>
      <c r="Z85" s="25">
        <v>118.7</v>
      </c>
      <c r="AA85" s="25"/>
      <c r="AB85" s="25">
        <v>119.7</v>
      </c>
      <c r="AC85" s="25"/>
      <c r="AD85" s="25">
        <v>117.1</v>
      </c>
      <c r="AE85" s="25"/>
      <c r="AF85" s="25">
        <v>110.1</v>
      </c>
      <c r="AG85" s="25"/>
      <c r="AH85" s="25">
        <v>115.9</v>
      </c>
      <c r="AI85" s="25"/>
      <c r="AJ85" s="25">
        <v>121</v>
      </c>
      <c r="AK85" s="25"/>
      <c r="AL85" s="25">
        <v>111.7</v>
      </c>
      <c r="AM85" s="25"/>
      <c r="AN85" s="25">
        <v>115.1</v>
      </c>
      <c r="AO85" s="25"/>
      <c r="AP85" s="25">
        <v>120.7</v>
      </c>
    </row>
    <row r="86" spans="1:42" hidden="1" x14ac:dyDescent="0.3">
      <c r="A86" s="25" t="s">
        <v>30</v>
      </c>
      <c r="B86" s="25">
        <v>2015</v>
      </c>
      <c r="C86" s="25" t="s">
        <v>38</v>
      </c>
      <c r="D86" s="26">
        <f>DATE(B86,MATCH(TRIM(C86),{"January","February","March","April","May","June","July","August","September","October","November","December"},0),1)</f>
        <v>42125</v>
      </c>
      <c r="E86" s="25">
        <v>123.5</v>
      </c>
      <c r="F86" s="25">
        <v>127.1</v>
      </c>
      <c r="G86" s="25">
        <v>117.3</v>
      </c>
      <c r="H86" s="25">
        <v>127.7</v>
      </c>
      <c r="I86" s="25">
        <v>112.5</v>
      </c>
      <c r="J86" s="25">
        <v>134.1</v>
      </c>
      <c r="K86" s="25">
        <v>128.5</v>
      </c>
      <c r="L86" s="25">
        <v>124.3</v>
      </c>
      <c r="M86" s="25">
        <v>97.6</v>
      </c>
      <c r="N86" s="25">
        <v>120.7</v>
      </c>
      <c r="O86" s="25">
        <v>120.2</v>
      </c>
      <c r="P86" s="25">
        <v>129.80000000000001</v>
      </c>
      <c r="Q86" s="25">
        <v>124.4</v>
      </c>
      <c r="R86" s="25"/>
      <c r="S86" s="25">
        <v>126.7</v>
      </c>
      <c r="T86" s="25"/>
      <c r="U86" s="25">
        <v>127.3</v>
      </c>
      <c r="V86" s="25">
        <v>124.1</v>
      </c>
      <c r="W86" s="25">
        <v>126.8</v>
      </c>
      <c r="X86" s="25"/>
      <c r="Y86" s="25" t="s">
        <v>32</v>
      </c>
      <c r="Z86" s="25">
        <v>121.9</v>
      </c>
      <c r="AA86" s="25"/>
      <c r="AB86" s="25">
        <v>121.5</v>
      </c>
      <c r="AC86" s="25"/>
      <c r="AD86" s="25">
        <v>119.4</v>
      </c>
      <c r="AE86" s="25"/>
      <c r="AF86" s="25">
        <v>113.3</v>
      </c>
      <c r="AG86" s="25"/>
      <c r="AH86" s="25">
        <v>116.7</v>
      </c>
      <c r="AI86" s="25"/>
      <c r="AJ86" s="25">
        <v>120.5</v>
      </c>
      <c r="AK86" s="25"/>
      <c r="AL86" s="25">
        <v>112.3</v>
      </c>
      <c r="AM86" s="25"/>
      <c r="AN86" s="25">
        <v>116.9</v>
      </c>
      <c r="AO86" s="25"/>
      <c r="AP86" s="25">
        <v>122.4</v>
      </c>
    </row>
    <row r="87" spans="1:42" hidden="1" x14ac:dyDescent="0.3">
      <c r="A87" s="25" t="s">
        <v>33</v>
      </c>
      <c r="B87" s="25">
        <v>2015</v>
      </c>
      <c r="C87" s="25" t="s">
        <v>38</v>
      </c>
      <c r="D87" s="26">
        <f>DATE(B87,MATCH(TRIM(C87),{"January","February","March","April","May","June","July","August","September","October","November","December"},0),1)</f>
        <v>42125</v>
      </c>
      <c r="E87" s="25">
        <v>123.8</v>
      </c>
      <c r="F87" s="25">
        <v>129.69999999999999</v>
      </c>
      <c r="G87" s="25">
        <v>111.3</v>
      </c>
      <c r="H87" s="25">
        <v>126.6</v>
      </c>
      <c r="I87" s="25">
        <v>105.2</v>
      </c>
      <c r="J87" s="25">
        <v>130.80000000000001</v>
      </c>
      <c r="K87" s="25">
        <v>135.6</v>
      </c>
      <c r="L87" s="25">
        <v>142.6</v>
      </c>
      <c r="M87" s="25">
        <v>90.8</v>
      </c>
      <c r="N87" s="25">
        <v>128.80000000000001</v>
      </c>
      <c r="O87" s="25">
        <v>117.7</v>
      </c>
      <c r="P87" s="25">
        <v>129.9</v>
      </c>
      <c r="Q87" s="25">
        <v>126.1</v>
      </c>
      <c r="R87" s="25"/>
      <c r="S87" s="25">
        <v>131.30000000000001</v>
      </c>
      <c r="T87" s="25"/>
      <c r="U87" s="25">
        <v>122.4</v>
      </c>
      <c r="V87" s="25">
        <v>117.4</v>
      </c>
      <c r="W87" s="25">
        <v>121.6</v>
      </c>
      <c r="X87" s="25"/>
      <c r="Y87" s="25">
        <v>119.6</v>
      </c>
      <c r="Z87" s="25">
        <v>114.9</v>
      </c>
      <c r="AA87" s="25"/>
      <c r="AB87" s="25">
        <v>118.7</v>
      </c>
      <c r="AC87" s="25"/>
      <c r="AD87" s="25">
        <v>114.9</v>
      </c>
      <c r="AE87" s="25"/>
      <c r="AF87" s="25">
        <v>110.8</v>
      </c>
      <c r="AG87" s="25"/>
      <c r="AH87" s="25">
        <v>116</v>
      </c>
      <c r="AI87" s="25"/>
      <c r="AJ87" s="25">
        <v>122</v>
      </c>
      <c r="AK87" s="25"/>
      <c r="AL87" s="25">
        <v>112.4</v>
      </c>
      <c r="AM87" s="25"/>
      <c r="AN87" s="25">
        <v>115.2</v>
      </c>
      <c r="AO87" s="25"/>
      <c r="AP87" s="25">
        <v>120.7</v>
      </c>
    </row>
    <row r="88" spans="1:42" hidden="1" x14ac:dyDescent="0.3">
      <c r="A88" s="25" t="s">
        <v>34</v>
      </c>
      <c r="B88" s="25">
        <v>2015</v>
      </c>
      <c r="C88" s="25" t="s">
        <v>38</v>
      </c>
      <c r="D88" s="26">
        <f>DATE(B88,MATCH(TRIM(C88),{"January","February","March","April","May","June","July","August","September","October","November","December"},0),1)</f>
        <v>42125</v>
      </c>
      <c r="E88" s="25">
        <v>123.6</v>
      </c>
      <c r="F88" s="25">
        <v>128</v>
      </c>
      <c r="G88" s="25">
        <v>115</v>
      </c>
      <c r="H88" s="25">
        <v>127.3</v>
      </c>
      <c r="I88" s="25">
        <v>109.8</v>
      </c>
      <c r="J88" s="25">
        <v>132.6</v>
      </c>
      <c r="K88" s="25">
        <v>130.9</v>
      </c>
      <c r="L88" s="25">
        <v>130.5</v>
      </c>
      <c r="M88" s="25">
        <v>95.3</v>
      </c>
      <c r="N88" s="25">
        <v>123.4</v>
      </c>
      <c r="O88" s="25">
        <v>119.2</v>
      </c>
      <c r="P88" s="25">
        <v>129.80000000000001</v>
      </c>
      <c r="Q88" s="25">
        <v>125</v>
      </c>
      <c r="R88" s="25"/>
      <c r="S88" s="25">
        <v>127.9</v>
      </c>
      <c r="T88" s="25"/>
      <c r="U88" s="25">
        <v>125.4</v>
      </c>
      <c r="V88" s="25">
        <v>121.3</v>
      </c>
      <c r="W88" s="25">
        <v>124.7</v>
      </c>
      <c r="X88" s="25"/>
      <c r="Y88" s="25">
        <v>119.6</v>
      </c>
      <c r="Z88" s="25">
        <v>119.2</v>
      </c>
      <c r="AA88" s="25"/>
      <c r="AB88" s="25">
        <v>120.2</v>
      </c>
      <c r="AC88" s="25"/>
      <c r="AD88" s="25">
        <v>117.7</v>
      </c>
      <c r="AE88" s="25"/>
      <c r="AF88" s="25">
        <v>112</v>
      </c>
      <c r="AG88" s="25"/>
      <c r="AH88" s="25">
        <v>116.3</v>
      </c>
      <c r="AI88" s="25"/>
      <c r="AJ88" s="25">
        <v>121.4</v>
      </c>
      <c r="AK88" s="25"/>
      <c r="AL88" s="25">
        <v>112.3</v>
      </c>
      <c r="AM88" s="25"/>
      <c r="AN88" s="25">
        <v>116.1</v>
      </c>
      <c r="AO88" s="25"/>
      <c r="AP88" s="25">
        <v>121.6</v>
      </c>
    </row>
    <row r="89" spans="1:42" hidden="1" x14ac:dyDescent="0.3">
      <c r="A89" s="25" t="s">
        <v>30</v>
      </c>
      <c r="B89" s="25">
        <v>2015</v>
      </c>
      <c r="C89" s="25" t="s">
        <v>39</v>
      </c>
      <c r="D89" s="26">
        <f>DATE(B89,MATCH(TRIM(C89),{"January","February","March","April","May","June","July","August","September","October","November","December"},0),1)</f>
        <v>42156</v>
      </c>
      <c r="E89" s="25">
        <v>124.1</v>
      </c>
      <c r="F89" s="25">
        <v>130.4</v>
      </c>
      <c r="G89" s="25">
        <v>122.1</v>
      </c>
      <c r="H89" s="25">
        <v>128.69999999999999</v>
      </c>
      <c r="I89" s="25">
        <v>114.1</v>
      </c>
      <c r="J89" s="25">
        <v>133.19999999999999</v>
      </c>
      <c r="K89" s="25">
        <v>135.19999999999999</v>
      </c>
      <c r="L89" s="25">
        <v>131.9</v>
      </c>
      <c r="M89" s="25">
        <v>96.3</v>
      </c>
      <c r="N89" s="25">
        <v>123</v>
      </c>
      <c r="O89" s="25">
        <v>121.1</v>
      </c>
      <c r="P89" s="25">
        <v>131.19999999999999</v>
      </c>
      <c r="Q89" s="25">
        <v>126.6</v>
      </c>
      <c r="R89" s="25"/>
      <c r="S89" s="25">
        <v>128.19999999999999</v>
      </c>
      <c r="T89" s="25"/>
      <c r="U89" s="25">
        <v>128.4</v>
      </c>
      <c r="V89" s="25">
        <v>125.1</v>
      </c>
      <c r="W89" s="25">
        <v>128</v>
      </c>
      <c r="X89" s="25"/>
      <c r="Y89" s="25" t="s">
        <v>32</v>
      </c>
      <c r="Z89" s="25">
        <v>122.6</v>
      </c>
      <c r="AA89" s="25"/>
      <c r="AB89" s="25">
        <v>122.8</v>
      </c>
      <c r="AC89" s="25"/>
      <c r="AD89" s="25">
        <v>120.4</v>
      </c>
      <c r="AE89" s="25"/>
      <c r="AF89" s="25">
        <v>114.2</v>
      </c>
      <c r="AG89" s="25"/>
      <c r="AH89" s="25">
        <v>117.9</v>
      </c>
      <c r="AI89" s="25"/>
      <c r="AJ89" s="25">
        <v>122</v>
      </c>
      <c r="AK89" s="25"/>
      <c r="AL89" s="25">
        <v>113</v>
      </c>
      <c r="AM89" s="25"/>
      <c r="AN89" s="25">
        <v>117.9</v>
      </c>
      <c r="AO89" s="25"/>
      <c r="AP89" s="25">
        <v>124.1</v>
      </c>
    </row>
    <row r="90" spans="1:42" hidden="1" x14ac:dyDescent="0.3">
      <c r="A90" s="25" t="s">
        <v>33</v>
      </c>
      <c r="B90" s="25">
        <v>2015</v>
      </c>
      <c r="C90" s="25" t="s">
        <v>39</v>
      </c>
      <c r="D90" s="26">
        <f>DATE(B90,MATCH(TRIM(C90),{"January","February","March","April","May","June","July","August","September","October","November","December"},0),1)</f>
        <v>42156</v>
      </c>
      <c r="E90" s="25">
        <v>123.6</v>
      </c>
      <c r="F90" s="25">
        <v>134.4</v>
      </c>
      <c r="G90" s="25">
        <v>120.9</v>
      </c>
      <c r="H90" s="25">
        <v>127.3</v>
      </c>
      <c r="I90" s="25">
        <v>106</v>
      </c>
      <c r="J90" s="25">
        <v>132.30000000000001</v>
      </c>
      <c r="K90" s="25">
        <v>146.69999999999999</v>
      </c>
      <c r="L90" s="25">
        <v>148.1</v>
      </c>
      <c r="M90" s="25">
        <v>89.8</v>
      </c>
      <c r="N90" s="25">
        <v>130.5</v>
      </c>
      <c r="O90" s="25">
        <v>118</v>
      </c>
      <c r="P90" s="25">
        <v>130.5</v>
      </c>
      <c r="Q90" s="25">
        <v>128.5</v>
      </c>
      <c r="R90" s="25"/>
      <c r="S90" s="25">
        <v>132.1</v>
      </c>
      <c r="T90" s="25"/>
      <c r="U90" s="25">
        <v>123.2</v>
      </c>
      <c r="V90" s="25">
        <v>117.6</v>
      </c>
      <c r="W90" s="25">
        <v>122.3</v>
      </c>
      <c r="X90" s="25"/>
      <c r="Y90" s="25">
        <v>119</v>
      </c>
      <c r="Z90" s="25">
        <v>115.1</v>
      </c>
      <c r="AA90" s="25"/>
      <c r="AB90" s="25">
        <v>119.2</v>
      </c>
      <c r="AC90" s="25"/>
      <c r="AD90" s="25">
        <v>115.4</v>
      </c>
      <c r="AE90" s="25"/>
      <c r="AF90" s="25">
        <v>111.7</v>
      </c>
      <c r="AG90" s="25"/>
      <c r="AH90" s="25">
        <v>116.2</v>
      </c>
      <c r="AI90" s="25"/>
      <c r="AJ90" s="25">
        <v>123.8</v>
      </c>
      <c r="AK90" s="25"/>
      <c r="AL90" s="25">
        <v>112.5</v>
      </c>
      <c r="AM90" s="25"/>
      <c r="AN90" s="25">
        <v>116</v>
      </c>
      <c r="AO90" s="25"/>
      <c r="AP90" s="25">
        <v>121.7</v>
      </c>
    </row>
    <row r="91" spans="1:42" hidden="1" x14ac:dyDescent="0.3">
      <c r="A91" s="25" t="s">
        <v>34</v>
      </c>
      <c r="B91" s="25">
        <v>2015</v>
      </c>
      <c r="C91" s="25" t="s">
        <v>39</v>
      </c>
      <c r="D91" s="26">
        <f>DATE(B91,MATCH(TRIM(C91),{"January","February","March","April","May","June","July","August","September","October","November","December"},0),1)</f>
        <v>42156</v>
      </c>
      <c r="E91" s="25">
        <v>123.9</v>
      </c>
      <c r="F91" s="25">
        <v>131.80000000000001</v>
      </c>
      <c r="G91" s="25">
        <v>121.6</v>
      </c>
      <c r="H91" s="25">
        <v>128.19999999999999</v>
      </c>
      <c r="I91" s="25">
        <v>111.1</v>
      </c>
      <c r="J91" s="25">
        <v>132.80000000000001</v>
      </c>
      <c r="K91" s="25">
        <v>139.1</v>
      </c>
      <c r="L91" s="25">
        <v>137.4</v>
      </c>
      <c r="M91" s="25">
        <v>94.1</v>
      </c>
      <c r="N91" s="25">
        <v>125.5</v>
      </c>
      <c r="O91" s="25">
        <v>119.8</v>
      </c>
      <c r="P91" s="25">
        <v>130.9</v>
      </c>
      <c r="Q91" s="25">
        <v>127.3</v>
      </c>
      <c r="R91" s="25"/>
      <c r="S91" s="25">
        <v>129.19999999999999</v>
      </c>
      <c r="T91" s="25"/>
      <c r="U91" s="25">
        <v>126.4</v>
      </c>
      <c r="V91" s="25">
        <v>122</v>
      </c>
      <c r="W91" s="25">
        <v>125.7</v>
      </c>
      <c r="X91" s="25"/>
      <c r="Y91" s="25">
        <v>119</v>
      </c>
      <c r="Z91" s="25">
        <v>119.8</v>
      </c>
      <c r="AA91" s="25"/>
      <c r="AB91" s="25">
        <v>121.1</v>
      </c>
      <c r="AC91" s="25"/>
      <c r="AD91" s="25">
        <v>118.5</v>
      </c>
      <c r="AE91" s="25"/>
      <c r="AF91" s="25">
        <v>112.9</v>
      </c>
      <c r="AG91" s="25"/>
      <c r="AH91" s="25">
        <v>116.9</v>
      </c>
      <c r="AI91" s="25"/>
      <c r="AJ91" s="25">
        <v>123.1</v>
      </c>
      <c r="AK91" s="25"/>
      <c r="AL91" s="25">
        <v>112.8</v>
      </c>
      <c r="AM91" s="25"/>
      <c r="AN91" s="25">
        <v>117</v>
      </c>
      <c r="AO91" s="25"/>
      <c r="AP91" s="25">
        <v>123</v>
      </c>
    </row>
    <row r="92" spans="1:42" hidden="1" x14ac:dyDescent="0.3">
      <c r="A92" s="25" t="s">
        <v>30</v>
      </c>
      <c r="B92" s="25">
        <v>2015</v>
      </c>
      <c r="C92" s="25" t="s">
        <v>40</v>
      </c>
      <c r="D92" s="26">
        <f>DATE(B92,MATCH(TRIM(C92),{"January","February","March","April","May","June","July","August","September","October","November","December"},0),1)</f>
        <v>42186</v>
      </c>
      <c r="E92" s="25">
        <v>124</v>
      </c>
      <c r="F92" s="25">
        <v>131.5</v>
      </c>
      <c r="G92" s="25">
        <v>122</v>
      </c>
      <c r="H92" s="25">
        <v>128.69999999999999</v>
      </c>
      <c r="I92" s="25">
        <v>113.5</v>
      </c>
      <c r="J92" s="25">
        <v>133.30000000000001</v>
      </c>
      <c r="K92" s="25">
        <v>140.80000000000001</v>
      </c>
      <c r="L92" s="25">
        <v>133.80000000000001</v>
      </c>
      <c r="M92" s="25">
        <v>94.1</v>
      </c>
      <c r="N92" s="25">
        <v>123.4</v>
      </c>
      <c r="O92" s="25">
        <v>121</v>
      </c>
      <c r="P92" s="25">
        <v>131.69999999999999</v>
      </c>
      <c r="Q92" s="25">
        <v>127.5</v>
      </c>
      <c r="R92" s="25"/>
      <c r="S92" s="25">
        <v>129.4</v>
      </c>
      <c r="T92" s="25"/>
      <c r="U92" s="25">
        <v>128.80000000000001</v>
      </c>
      <c r="V92" s="25">
        <v>125.5</v>
      </c>
      <c r="W92" s="25">
        <v>128.30000000000001</v>
      </c>
      <c r="X92" s="25"/>
      <c r="Y92" s="25" t="s">
        <v>32</v>
      </c>
      <c r="Z92" s="25">
        <v>123</v>
      </c>
      <c r="AA92" s="25"/>
      <c r="AB92" s="25">
        <v>123</v>
      </c>
      <c r="AC92" s="25"/>
      <c r="AD92" s="25">
        <v>120.8</v>
      </c>
      <c r="AE92" s="25"/>
      <c r="AF92" s="25">
        <v>114.1</v>
      </c>
      <c r="AG92" s="25"/>
      <c r="AH92" s="25">
        <v>118</v>
      </c>
      <c r="AI92" s="25"/>
      <c r="AJ92" s="25">
        <v>122.9</v>
      </c>
      <c r="AK92" s="25"/>
      <c r="AL92" s="25">
        <v>112.7</v>
      </c>
      <c r="AM92" s="25"/>
      <c r="AN92" s="25">
        <v>118.1</v>
      </c>
      <c r="AO92" s="25"/>
      <c r="AP92" s="25">
        <v>124.7</v>
      </c>
    </row>
    <row r="93" spans="1:42" hidden="1" x14ac:dyDescent="0.3">
      <c r="A93" s="25" t="s">
        <v>33</v>
      </c>
      <c r="B93" s="25">
        <v>2015</v>
      </c>
      <c r="C93" s="25" t="s">
        <v>40</v>
      </c>
      <c r="D93" s="26">
        <f>DATE(B93,MATCH(TRIM(C93),{"January","February","March","April","May","June","July","August","September","October","November","December"},0),1)</f>
        <v>42186</v>
      </c>
      <c r="E93" s="25">
        <v>123.2</v>
      </c>
      <c r="F93" s="25">
        <v>134.30000000000001</v>
      </c>
      <c r="G93" s="25">
        <v>119.5</v>
      </c>
      <c r="H93" s="25">
        <v>127.7</v>
      </c>
      <c r="I93" s="25">
        <v>106.3</v>
      </c>
      <c r="J93" s="25">
        <v>132.80000000000001</v>
      </c>
      <c r="K93" s="25">
        <v>153.5</v>
      </c>
      <c r="L93" s="25">
        <v>149.5</v>
      </c>
      <c r="M93" s="25">
        <v>85.7</v>
      </c>
      <c r="N93" s="25">
        <v>131.5</v>
      </c>
      <c r="O93" s="25">
        <v>118.3</v>
      </c>
      <c r="P93" s="25">
        <v>131.1</v>
      </c>
      <c r="Q93" s="25">
        <v>129.5</v>
      </c>
      <c r="R93" s="25"/>
      <c r="S93" s="25">
        <v>133.1</v>
      </c>
      <c r="T93" s="25"/>
      <c r="U93" s="25">
        <v>123.5</v>
      </c>
      <c r="V93" s="25">
        <v>117.9</v>
      </c>
      <c r="W93" s="25">
        <v>122.7</v>
      </c>
      <c r="X93" s="25"/>
      <c r="Y93" s="25">
        <v>119.9</v>
      </c>
      <c r="Z93" s="25">
        <v>115.3</v>
      </c>
      <c r="AA93" s="25"/>
      <c r="AB93" s="25">
        <v>119.5</v>
      </c>
      <c r="AC93" s="25"/>
      <c r="AD93" s="25">
        <v>116</v>
      </c>
      <c r="AE93" s="25"/>
      <c r="AF93" s="25">
        <v>111.5</v>
      </c>
      <c r="AG93" s="25"/>
      <c r="AH93" s="25">
        <v>116.6</v>
      </c>
      <c r="AI93" s="25"/>
      <c r="AJ93" s="25">
        <v>125.4</v>
      </c>
      <c r="AK93" s="25"/>
      <c r="AL93" s="25">
        <v>111.7</v>
      </c>
      <c r="AM93" s="25"/>
      <c r="AN93" s="25">
        <v>116.3</v>
      </c>
      <c r="AO93" s="25"/>
      <c r="AP93" s="25">
        <v>122.4</v>
      </c>
    </row>
    <row r="94" spans="1:42" hidden="1" x14ac:dyDescent="0.3">
      <c r="A94" s="25" t="s">
        <v>34</v>
      </c>
      <c r="B94" s="25">
        <v>2015</v>
      </c>
      <c r="C94" s="25" t="s">
        <v>40</v>
      </c>
      <c r="D94" s="26">
        <f>DATE(B94,MATCH(TRIM(C94),{"January","February","March","April","May","June","July","August","September","October","November","December"},0),1)</f>
        <v>42186</v>
      </c>
      <c r="E94" s="25">
        <v>123.7</v>
      </c>
      <c r="F94" s="25">
        <v>132.5</v>
      </c>
      <c r="G94" s="25">
        <v>121</v>
      </c>
      <c r="H94" s="25">
        <v>128.30000000000001</v>
      </c>
      <c r="I94" s="25">
        <v>110.9</v>
      </c>
      <c r="J94" s="25">
        <v>133.1</v>
      </c>
      <c r="K94" s="25">
        <v>145.1</v>
      </c>
      <c r="L94" s="25">
        <v>139.1</v>
      </c>
      <c r="M94" s="25">
        <v>91.3</v>
      </c>
      <c r="N94" s="25">
        <v>126.1</v>
      </c>
      <c r="O94" s="25">
        <v>119.9</v>
      </c>
      <c r="P94" s="25">
        <v>131.4</v>
      </c>
      <c r="Q94" s="25">
        <v>128.19999999999999</v>
      </c>
      <c r="R94" s="25"/>
      <c r="S94" s="25">
        <v>130.4</v>
      </c>
      <c r="T94" s="25"/>
      <c r="U94" s="25">
        <v>126.7</v>
      </c>
      <c r="V94" s="25">
        <v>122.3</v>
      </c>
      <c r="W94" s="25">
        <v>126.1</v>
      </c>
      <c r="X94" s="25"/>
      <c r="Y94" s="25">
        <v>119.9</v>
      </c>
      <c r="Z94" s="25">
        <v>120.1</v>
      </c>
      <c r="AA94" s="25"/>
      <c r="AB94" s="25">
        <v>121.3</v>
      </c>
      <c r="AC94" s="25"/>
      <c r="AD94" s="25">
        <v>119</v>
      </c>
      <c r="AE94" s="25"/>
      <c r="AF94" s="25">
        <v>112.7</v>
      </c>
      <c r="AG94" s="25"/>
      <c r="AH94" s="25">
        <v>117.2</v>
      </c>
      <c r="AI94" s="25"/>
      <c r="AJ94" s="25">
        <v>124.4</v>
      </c>
      <c r="AK94" s="25"/>
      <c r="AL94" s="25">
        <v>112.3</v>
      </c>
      <c r="AM94" s="25"/>
      <c r="AN94" s="25">
        <v>117.2</v>
      </c>
      <c r="AO94" s="25"/>
      <c r="AP94" s="25">
        <v>123.6</v>
      </c>
    </row>
    <row r="95" spans="1:42" hidden="1" x14ac:dyDescent="0.3">
      <c r="A95" s="25" t="s">
        <v>30</v>
      </c>
      <c r="B95" s="25">
        <v>2015</v>
      </c>
      <c r="C95" s="25" t="s">
        <v>41</v>
      </c>
      <c r="D95" s="26">
        <f>DATE(B95,MATCH(TRIM(C95),{"January","February","March","April","May","June","July","August","September","October","November","December"},0),1)</f>
        <v>42217</v>
      </c>
      <c r="E95" s="25">
        <v>124.7</v>
      </c>
      <c r="F95" s="25">
        <v>131.30000000000001</v>
      </c>
      <c r="G95" s="25">
        <v>121.3</v>
      </c>
      <c r="H95" s="25">
        <v>128.80000000000001</v>
      </c>
      <c r="I95" s="25">
        <v>114</v>
      </c>
      <c r="J95" s="25">
        <v>134.19999999999999</v>
      </c>
      <c r="K95" s="25">
        <v>153.6</v>
      </c>
      <c r="L95" s="25">
        <v>137.9</v>
      </c>
      <c r="M95" s="25">
        <v>93.1</v>
      </c>
      <c r="N95" s="25">
        <v>123.9</v>
      </c>
      <c r="O95" s="25">
        <v>121.5</v>
      </c>
      <c r="P95" s="25">
        <v>132.5</v>
      </c>
      <c r="Q95" s="25">
        <v>129.80000000000001</v>
      </c>
      <c r="R95" s="25"/>
      <c r="S95" s="25">
        <v>130.1</v>
      </c>
      <c r="T95" s="25"/>
      <c r="U95" s="25">
        <v>129.5</v>
      </c>
      <c r="V95" s="25">
        <v>126.3</v>
      </c>
      <c r="W95" s="25">
        <v>129</v>
      </c>
      <c r="X95" s="25"/>
      <c r="Y95" s="25" t="s">
        <v>32</v>
      </c>
      <c r="Z95" s="25">
        <v>123.8</v>
      </c>
      <c r="AA95" s="25"/>
      <c r="AB95" s="25">
        <v>123.7</v>
      </c>
      <c r="AC95" s="25"/>
      <c r="AD95" s="25">
        <v>121.1</v>
      </c>
      <c r="AE95" s="25"/>
      <c r="AF95" s="25">
        <v>113.6</v>
      </c>
      <c r="AG95" s="25"/>
      <c r="AH95" s="25">
        <v>118.5</v>
      </c>
      <c r="AI95" s="25"/>
      <c r="AJ95" s="25">
        <v>123.6</v>
      </c>
      <c r="AK95" s="25"/>
      <c r="AL95" s="25">
        <v>112.5</v>
      </c>
      <c r="AM95" s="25"/>
      <c r="AN95" s="25">
        <v>118.2</v>
      </c>
      <c r="AO95" s="25"/>
      <c r="AP95" s="25">
        <v>126.1</v>
      </c>
    </row>
    <row r="96" spans="1:42" hidden="1" x14ac:dyDescent="0.3">
      <c r="A96" s="25" t="s">
        <v>33</v>
      </c>
      <c r="B96" s="25">
        <v>2015</v>
      </c>
      <c r="C96" s="25" t="s">
        <v>41</v>
      </c>
      <c r="D96" s="26">
        <f>DATE(B96,MATCH(TRIM(C96),{"January","February","March","April","May","June","July","August","September","October","November","December"},0),1)</f>
        <v>42217</v>
      </c>
      <c r="E96" s="25">
        <v>123.1</v>
      </c>
      <c r="F96" s="25">
        <v>131.69999999999999</v>
      </c>
      <c r="G96" s="25">
        <v>118.1</v>
      </c>
      <c r="H96" s="25">
        <v>128</v>
      </c>
      <c r="I96" s="25">
        <v>106.8</v>
      </c>
      <c r="J96" s="25">
        <v>130.1</v>
      </c>
      <c r="K96" s="25">
        <v>165.5</v>
      </c>
      <c r="L96" s="25">
        <v>156</v>
      </c>
      <c r="M96" s="25">
        <v>85.3</v>
      </c>
      <c r="N96" s="25">
        <v>132.69999999999999</v>
      </c>
      <c r="O96" s="25">
        <v>118.8</v>
      </c>
      <c r="P96" s="25">
        <v>131.69999999999999</v>
      </c>
      <c r="Q96" s="25">
        <v>131.1</v>
      </c>
      <c r="R96" s="25"/>
      <c r="S96" s="25">
        <v>134.19999999999999</v>
      </c>
      <c r="T96" s="25"/>
      <c r="U96" s="25">
        <v>123.7</v>
      </c>
      <c r="V96" s="25">
        <v>118.2</v>
      </c>
      <c r="W96" s="25">
        <v>122.9</v>
      </c>
      <c r="X96" s="25"/>
      <c r="Y96" s="25">
        <v>120.9</v>
      </c>
      <c r="Z96" s="25">
        <v>115.3</v>
      </c>
      <c r="AA96" s="25"/>
      <c r="AB96" s="25">
        <v>120</v>
      </c>
      <c r="AC96" s="25"/>
      <c r="AD96" s="25">
        <v>116.6</v>
      </c>
      <c r="AE96" s="25"/>
      <c r="AF96" s="25">
        <v>109.9</v>
      </c>
      <c r="AG96" s="25"/>
      <c r="AH96" s="25">
        <v>117.2</v>
      </c>
      <c r="AI96" s="25"/>
      <c r="AJ96" s="25">
        <v>126.2</v>
      </c>
      <c r="AK96" s="25"/>
      <c r="AL96" s="25">
        <v>112</v>
      </c>
      <c r="AM96" s="25"/>
      <c r="AN96" s="25">
        <v>116.2</v>
      </c>
      <c r="AO96" s="25"/>
      <c r="AP96" s="25">
        <v>123.2</v>
      </c>
    </row>
    <row r="97" spans="1:42" hidden="1" x14ac:dyDescent="0.3">
      <c r="A97" s="25" t="s">
        <v>34</v>
      </c>
      <c r="B97" s="25">
        <v>2015</v>
      </c>
      <c r="C97" s="25" t="s">
        <v>41</v>
      </c>
      <c r="D97" s="26">
        <f>DATE(B97,MATCH(TRIM(C97),{"January","February","March","April","May","June","July","August","September","October","November","December"},0),1)</f>
        <v>42217</v>
      </c>
      <c r="E97" s="25">
        <v>124.2</v>
      </c>
      <c r="F97" s="25">
        <v>131.4</v>
      </c>
      <c r="G97" s="25">
        <v>120.1</v>
      </c>
      <c r="H97" s="25">
        <v>128.5</v>
      </c>
      <c r="I97" s="25">
        <v>111.4</v>
      </c>
      <c r="J97" s="25">
        <v>132.30000000000001</v>
      </c>
      <c r="K97" s="25">
        <v>157.6</v>
      </c>
      <c r="L97" s="25">
        <v>144</v>
      </c>
      <c r="M97" s="25">
        <v>90.5</v>
      </c>
      <c r="N97" s="25">
        <v>126.8</v>
      </c>
      <c r="O97" s="25">
        <v>120.4</v>
      </c>
      <c r="P97" s="25">
        <v>132.1</v>
      </c>
      <c r="Q97" s="25">
        <v>130.30000000000001</v>
      </c>
      <c r="R97" s="25"/>
      <c r="S97" s="25">
        <v>131.19999999999999</v>
      </c>
      <c r="T97" s="25"/>
      <c r="U97" s="25">
        <v>127.2</v>
      </c>
      <c r="V97" s="25">
        <v>122.9</v>
      </c>
      <c r="W97" s="25">
        <v>126.6</v>
      </c>
      <c r="X97" s="25"/>
      <c r="Y97" s="25">
        <v>120.9</v>
      </c>
      <c r="Z97" s="25">
        <v>120.6</v>
      </c>
      <c r="AA97" s="25"/>
      <c r="AB97" s="25">
        <v>122</v>
      </c>
      <c r="AC97" s="25"/>
      <c r="AD97" s="25">
        <v>119.4</v>
      </c>
      <c r="AE97" s="25"/>
      <c r="AF97" s="25">
        <v>111.7</v>
      </c>
      <c r="AG97" s="25"/>
      <c r="AH97" s="25">
        <v>117.8</v>
      </c>
      <c r="AI97" s="25"/>
      <c r="AJ97" s="25">
        <v>125.1</v>
      </c>
      <c r="AK97" s="25"/>
      <c r="AL97" s="25">
        <v>112.3</v>
      </c>
      <c r="AM97" s="25"/>
      <c r="AN97" s="25">
        <v>117.2</v>
      </c>
      <c r="AO97" s="25"/>
      <c r="AP97" s="25">
        <v>124.8</v>
      </c>
    </row>
    <row r="98" spans="1:42" hidden="1" x14ac:dyDescent="0.3">
      <c r="A98" s="25" t="s">
        <v>30</v>
      </c>
      <c r="B98" s="25">
        <v>2015</v>
      </c>
      <c r="C98" s="25" t="s">
        <v>42</v>
      </c>
      <c r="D98" s="26">
        <f>DATE(B98,MATCH(TRIM(C98),{"January","February","March","April","May","June","July","August","September","October","November","December"},0),1)</f>
        <v>42248</v>
      </c>
      <c r="E98" s="25">
        <v>125.1</v>
      </c>
      <c r="F98" s="25">
        <v>131.1</v>
      </c>
      <c r="G98" s="25">
        <v>120.7</v>
      </c>
      <c r="H98" s="25">
        <v>129.19999999999999</v>
      </c>
      <c r="I98" s="25">
        <v>114.7</v>
      </c>
      <c r="J98" s="25">
        <v>132.30000000000001</v>
      </c>
      <c r="K98" s="25">
        <v>158.9</v>
      </c>
      <c r="L98" s="25">
        <v>142.1</v>
      </c>
      <c r="M98" s="25">
        <v>92.5</v>
      </c>
      <c r="N98" s="25">
        <v>125.4</v>
      </c>
      <c r="O98" s="25">
        <v>121.9</v>
      </c>
      <c r="P98" s="25">
        <v>132.69999999999999</v>
      </c>
      <c r="Q98" s="25">
        <v>131</v>
      </c>
      <c r="R98" s="25"/>
      <c r="S98" s="25">
        <v>131</v>
      </c>
      <c r="T98" s="25"/>
      <c r="U98" s="25">
        <v>130.4</v>
      </c>
      <c r="V98" s="25">
        <v>126.8</v>
      </c>
      <c r="W98" s="25">
        <v>129.9</v>
      </c>
      <c r="X98" s="25"/>
      <c r="Y98" s="25" t="s">
        <v>32</v>
      </c>
      <c r="Z98" s="25">
        <v>123.7</v>
      </c>
      <c r="AA98" s="25"/>
      <c r="AB98" s="25">
        <v>124.5</v>
      </c>
      <c r="AC98" s="25"/>
      <c r="AD98" s="25">
        <v>121.4</v>
      </c>
      <c r="AE98" s="25"/>
      <c r="AF98" s="25">
        <v>113.8</v>
      </c>
      <c r="AG98" s="25"/>
      <c r="AH98" s="25">
        <v>119.6</v>
      </c>
      <c r="AI98" s="25"/>
      <c r="AJ98" s="25">
        <v>124.5</v>
      </c>
      <c r="AK98" s="25"/>
      <c r="AL98" s="25">
        <v>113.7</v>
      </c>
      <c r="AM98" s="25"/>
      <c r="AN98" s="25">
        <v>118.8</v>
      </c>
      <c r="AO98" s="25"/>
      <c r="AP98" s="25">
        <v>127</v>
      </c>
    </row>
    <row r="99" spans="1:42" hidden="1" x14ac:dyDescent="0.3">
      <c r="A99" s="25" t="s">
        <v>33</v>
      </c>
      <c r="B99" s="25">
        <v>2015</v>
      </c>
      <c r="C99" s="25" t="s">
        <v>42</v>
      </c>
      <c r="D99" s="26">
        <f>DATE(B99,MATCH(TRIM(C99),{"January","February","March","April","May","June","July","August","September","October","November","December"},0),1)</f>
        <v>42248</v>
      </c>
      <c r="E99" s="25">
        <v>123.4</v>
      </c>
      <c r="F99" s="25">
        <v>129</v>
      </c>
      <c r="G99" s="25">
        <v>115.6</v>
      </c>
      <c r="H99" s="25">
        <v>128.30000000000001</v>
      </c>
      <c r="I99" s="25">
        <v>107</v>
      </c>
      <c r="J99" s="25">
        <v>124</v>
      </c>
      <c r="K99" s="25">
        <v>168.5</v>
      </c>
      <c r="L99" s="25">
        <v>165.4</v>
      </c>
      <c r="M99" s="25">
        <v>86.3</v>
      </c>
      <c r="N99" s="25">
        <v>134.4</v>
      </c>
      <c r="O99" s="25">
        <v>119.1</v>
      </c>
      <c r="P99" s="25">
        <v>132.30000000000001</v>
      </c>
      <c r="Q99" s="25">
        <v>131.5</v>
      </c>
      <c r="R99" s="25"/>
      <c r="S99" s="25">
        <v>134.69999999999999</v>
      </c>
      <c r="T99" s="25"/>
      <c r="U99" s="25">
        <v>124</v>
      </c>
      <c r="V99" s="25">
        <v>118.6</v>
      </c>
      <c r="W99" s="25">
        <v>123.2</v>
      </c>
      <c r="X99" s="25"/>
      <c r="Y99" s="25">
        <v>121.6</v>
      </c>
      <c r="Z99" s="25">
        <v>115.1</v>
      </c>
      <c r="AA99" s="25"/>
      <c r="AB99" s="25">
        <v>120.4</v>
      </c>
      <c r="AC99" s="25"/>
      <c r="AD99" s="25">
        <v>117.1</v>
      </c>
      <c r="AE99" s="25"/>
      <c r="AF99" s="25">
        <v>109.1</v>
      </c>
      <c r="AG99" s="25"/>
      <c r="AH99" s="25">
        <v>117.3</v>
      </c>
      <c r="AI99" s="25"/>
      <c r="AJ99" s="25">
        <v>126.5</v>
      </c>
      <c r="AK99" s="25"/>
      <c r="AL99" s="25">
        <v>112.9</v>
      </c>
      <c r="AM99" s="25"/>
      <c r="AN99" s="25">
        <v>116.2</v>
      </c>
      <c r="AO99" s="25"/>
      <c r="AP99" s="25">
        <v>123.5</v>
      </c>
    </row>
    <row r="100" spans="1:42" hidden="1" x14ac:dyDescent="0.3">
      <c r="A100" s="25" t="s">
        <v>34</v>
      </c>
      <c r="B100" s="25">
        <v>2015</v>
      </c>
      <c r="C100" s="25" t="s">
        <v>42</v>
      </c>
      <c r="D100" s="26">
        <f>DATE(B100,MATCH(TRIM(C100),{"January","February","March","April","May","June","July","August","September","October","November","December"},0),1)</f>
        <v>42248</v>
      </c>
      <c r="E100" s="25">
        <v>124.6</v>
      </c>
      <c r="F100" s="25">
        <v>130.4</v>
      </c>
      <c r="G100" s="25">
        <v>118.7</v>
      </c>
      <c r="H100" s="25">
        <v>128.9</v>
      </c>
      <c r="I100" s="25">
        <v>111.9</v>
      </c>
      <c r="J100" s="25">
        <v>128.4</v>
      </c>
      <c r="K100" s="25">
        <v>162.19999999999999</v>
      </c>
      <c r="L100" s="25">
        <v>150</v>
      </c>
      <c r="M100" s="25">
        <v>90.4</v>
      </c>
      <c r="N100" s="25">
        <v>128.4</v>
      </c>
      <c r="O100" s="25">
        <v>120.7</v>
      </c>
      <c r="P100" s="25">
        <v>132.5</v>
      </c>
      <c r="Q100" s="25">
        <v>131.19999999999999</v>
      </c>
      <c r="R100" s="25"/>
      <c r="S100" s="25">
        <v>132</v>
      </c>
      <c r="T100" s="25"/>
      <c r="U100" s="25">
        <v>127.9</v>
      </c>
      <c r="V100" s="25">
        <v>123.4</v>
      </c>
      <c r="W100" s="25">
        <v>127.2</v>
      </c>
      <c r="X100" s="25"/>
      <c r="Y100" s="25">
        <v>121.6</v>
      </c>
      <c r="Z100" s="25">
        <v>120.4</v>
      </c>
      <c r="AA100" s="25"/>
      <c r="AB100" s="25">
        <v>122.6</v>
      </c>
      <c r="AC100" s="25"/>
      <c r="AD100" s="25">
        <v>119.8</v>
      </c>
      <c r="AE100" s="25"/>
      <c r="AF100" s="25">
        <v>111.3</v>
      </c>
      <c r="AG100" s="25"/>
      <c r="AH100" s="25">
        <v>118.3</v>
      </c>
      <c r="AI100" s="25"/>
      <c r="AJ100" s="25">
        <v>125.7</v>
      </c>
      <c r="AK100" s="25"/>
      <c r="AL100" s="25">
        <v>113.4</v>
      </c>
      <c r="AM100" s="25"/>
      <c r="AN100" s="25">
        <v>117.5</v>
      </c>
      <c r="AO100" s="25"/>
      <c r="AP100" s="25">
        <v>125.4</v>
      </c>
    </row>
    <row r="101" spans="1:42" hidden="1" x14ac:dyDescent="0.3">
      <c r="A101" s="25" t="s">
        <v>30</v>
      </c>
      <c r="B101" s="25">
        <v>2015</v>
      </c>
      <c r="C101" s="25" t="s">
        <v>43</v>
      </c>
      <c r="D101" s="26">
        <f>DATE(B101,MATCH(TRIM(C101),{"January","February","March","April","May","June","July","August","September","October","November","December"},0),1)</f>
        <v>42278</v>
      </c>
      <c r="E101" s="25">
        <v>125.6</v>
      </c>
      <c r="F101" s="25">
        <v>130.4</v>
      </c>
      <c r="G101" s="25">
        <v>120.8</v>
      </c>
      <c r="H101" s="25">
        <v>129.4</v>
      </c>
      <c r="I101" s="25">
        <v>115.8</v>
      </c>
      <c r="J101" s="25">
        <v>133.19999999999999</v>
      </c>
      <c r="K101" s="25">
        <v>157.69999999999999</v>
      </c>
      <c r="L101" s="25">
        <v>154.19999999999999</v>
      </c>
      <c r="M101" s="25">
        <v>93.7</v>
      </c>
      <c r="N101" s="25">
        <v>126.6</v>
      </c>
      <c r="O101" s="25">
        <v>122.3</v>
      </c>
      <c r="P101" s="25">
        <v>133.1</v>
      </c>
      <c r="Q101" s="25">
        <v>131.80000000000001</v>
      </c>
      <c r="R101" s="25"/>
      <c r="S101" s="25">
        <v>131.5</v>
      </c>
      <c r="T101" s="25"/>
      <c r="U101" s="25">
        <v>131.1</v>
      </c>
      <c r="V101" s="25">
        <v>127.3</v>
      </c>
      <c r="W101" s="25">
        <v>130.6</v>
      </c>
      <c r="X101" s="25"/>
      <c r="Y101" s="25" t="s">
        <v>32</v>
      </c>
      <c r="Z101" s="25">
        <v>124.4</v>
      </c>
      <c r="AA101" s="25"/>
      <c r="AB101" s="25">
        <v>125.1</v>
      </c>
      <c r="AC101" s="25"/>
      <c r="AD101" s="25">
        <v>122</v>
      </c>
      <c r="AE101" s="25"/>
      <c r="AF101" s="25">
        <v>113.8</v>
      </c>
      <c r="AG101" s="25"/>
      <c r="AH101" s="25">
        <v>120.1</v>
      </c>
      <c r="AI101" s="25"/>
      <c r="AJ101" s="25">
        <v>125.1</v>
      </c>
      <c r="AK101" s="25"/>
      <c r="AL101" s="25">
        <v>114.2</v>
      </c>
      <c r="AM101" s="25"/>
      <c r="AN101" s="25">
        <v>119.2</v>
      </c>
      <c r="AO101" s="25"/>
      <c r="AP101" s="25">
        <v>127.7</v>
      </c>
    </row>
    <row r="102" spans="1:42" hidden="1" x14ac:dyDescent="0.3">
      <c r="A102" s="25" t="s">
        <v>33</v>
      </c>
      <c r="B102" s="25">
        <v>2015</v>
      </c>
      <c r="C102" s="25" t="s">
        <v>43</v>
      </c>
      <c r="D102" s="26">
        <f>DATE(B102,MATCH(TRIM(C102),{"January","February","March","April","May","June","July","August","September","October","November","December"},0),1)</f>
        <v>42278</v>
      </c>
      <c r="E102" s="25">
        <v>123.6</v>
      </c>
      <c r="F102" s="25">
        <v>128.6</v>
      </c>
      <c r="G102" s="25">
        <v>115.9</v>
      </c>
      <c r="H102" s="25">
        <v>128.5</v>
      </c>
      <c r="I102" s="25">
        <v>109</v>
      </c>
      <c r="J102" s="25">
        <v>124.1</v>
      </c>
      <c r="K102" s="25">
        <v>165.8</v>
      </c>
      <c r="L102" s="25">
        <v>187.2</v>
      </c>
      <c r="M102" s="25">
        <v>89.4</v>
      </c>
      <c r="N102" s="25">
        <v>135.80000000000001</v>
      </c>
      <c r="O102" s="25">
        <v>119.4</v>
      </c>
      <c r="P102" s="25">
        <v>132.9</v>
      </c>
      <c r="Q102" s="25">
        <v>132.6</v>
      </c>
      <c r="R102" s="25"/>
      <c r="S102" s="25">
        <v>135.30000000000001</v>
      </c>
      <c r="T102" s="25"/>
      <c r="U102" s="25">
        <v>124.4</v>
      </c>
      <c r="V102" s="25">
        <v>118.8</v>
      </c>
      <c r="W102" s="25">
        <v>123.6</v>
      </c>
      <c r="X102" s="25"/>
      <c r="Y102" s="25">
        <v>122.4</v>
      </c>
      <c r="Z102" s="25">
        <v>114.9</v>
      </c>
      <c r="AA102" s="25"/>
      <c r="AB102" s="25">
        <v>120.7</v>
      </c>
      <c r="AC102" s="25"/>
      <c r="AD102" s="25">
        <v>117.7</v>
      </c>
      <c r="AE102" s="25"/>
      <c r="AF102" s="25">
        <v>109.3</v>
      </c>
      <c r="AG102" s="25"/>
      <c r="AH102" s="25">
        <v>117.7</v>
      </c>
      <c r="AI102" s="25"/>
      <c r="AJ102" s="25">
        <v>126.5</v>
      </c>
      <c r="AK102" s="25"/>
      <c r="AL102" s="25">
        <v>113.5</v>
      </c>
      <c r="AM102" s="25"/>
      <c r="AN102" s="25">
        <v>116.5</v>
      </c>
      <c r="AO102" s="25"/>
      <c r="AP102" s="25">
        <v>124.2</v>
      </c>
    </row>
    <row r="103" spans="1:42" hidden="1" x14ac:dyDescent="0.3">
      <c r="A103" s="25" t="s">
        <v>34</v>
      </c>
      <c r="B103" s="25">
        <v>2015</v>
      </c>
      <c r="C103" s="25" t="s">
        <v>43</v>
      </c>
      <c r="D103" s="26">
        <f>DATE(B103,MATCH(TRIM(C103),{"January","February","March","April","May","June","July","August","September","October","November","December"},0),1)</f>
        <v>42278</v>
      </c>
      <c r="E103" s="25">
        <v>125</v>
      </c>
      <c r="F103" s="25">
        <v>129.80000000000001</v>
      </c>
      <c r="G103" s="25">
        <v>118.9</v>
      </c>
      <c r="H103" s="25">
        <v>129.1</v>
      </c>
      <c r="I103" s="25">
        <v>113.3</v>
      </c>
      <c r="J103" s="25">
        <v>129</v>
      </c>
      <c r="K103" s="25">
        <v>160.4</v>
      </c>
      <c r="L103" s="25">
        <v>165.3</v>
      </c>
      <c r="M103" s="25">
        <v>92.3</v>
      </c>
      <c r="N103" s="25">
        <v>129.69999999999999</v>
      </c>
      <c r="O103" s="25">
        <v>121.1</v>
      </c>
      <c r="P103" s="25">
        <v>133</v>
      </c>
      <c r="Q103" s="25">
        <v>132.1</v>
      </c>
      <c r="R103" s="25"/>
      <c r="S103" s="25">
        <v>132.5</v>
      </c>
      <c r="T103" s="25"/>
      <c r="U103" s="25">
        <v>128.5</v>
      </c>
      <c r="V103" s="25">
        <v>123.8</v>
      </c>
      <c r="W103" s="25">
        <v>127.8</v>
      </c>
      <c r="X103" s="25"/>
      <c r="Y103" s="25">
        <v>122.4</v>
      </c>
      <c r="Z103" s="25">
        <v>120.8</v>
      </c>
      <c r="AA103" s="25"/>
      <c r="AB103" s="25">
        <v>123</v>
      </c>
      <c r="AC103" s="25"/>
      <c r="AD103" s="25">
        <v>120.4</v>
      </c>
      <c r="AE103" s="25"/>
      <c r="AF103" s="25">
        <v>111.4</v>
      </c>
      <c r="AG103" s="25"/>
      <c r="AH103" s="25">
        <v>118.7</v>
      </c>
      <c r="AI103" s="25"/>
      <c r="AJ103" s="25">
        <v>125.9</v>
      </c>
      <c r="AK103" s="25"/>
      <c r="AL103" s="25">
        <v>113.9</v>
      </c>
      <c r="AM103" s="25"/>
      <c r="AN103" s="25">
        <v>117.9</v>
      </c>
      <c r="AO103" s="25"/>
      <c r="AP103" s="25">
        <v>126.1</v>
      </c>
    </row>
    <row r="104" spans="1:42" hidden="1" x14ac:dyDescent="0.3">
      <c r="A104" s="25" t="s">
        <v>30</v>
      </c>
      <c r="B104" s="25">
        <v>2015</v>
      </c>
      <c r="C104" s="25" t="s">
        <v>45</v>
      </c>
      <c r="D104" s="26">
        <f>DATE(B104,MATCH(TRIM(C104),{"January","February","March","April","May","June","July","August","September","October","November","December"},0),1)</f>
        <v>42309</v>
      </c>
      <c r="E104" s="25">
        <v>126.1</v>
      </c>
      <c r="F104" s="25">
        <v>130.6</v>
      </c>
      <c r="G104" s="25">
        <v>121.7</v>
      </c>
      <c r="H104" s="25">
        <v>129.5</v>
      </c>
      <c r="I104" s="25">
        <v>117.8</v>
      </c>
      <c r="J104" s="25">
        <v>132.1</v>
      </c>
      <c r="K104" s="25">
        <v>155.19999999999999</v>
      </c>
      <c r="L104" s="25">
        <v>160.80000000000001</v>
      </c>
      <c r="M104" s="25">
        <v>94.5</v>
      </c>
      <c r="N104" s="25">
        <v>128.30000000000001</v>
      </c>
      <c r="O104" s="25">
        <v>123.1</v>
      </c>
      <c r="P104" s="25">
        <v>134.19999999999999</v>
      </c>
      <c r="Q104" s="25">
        <v>132.4</v>
      </c>
      <c r="R104" s="25"/>
      <c r="S104" s="25">
        <v>132.19999999999999</v>
      </c>
      <c r="T104" s="25"/>
      <c r="U104" s="25">
        <v>132.1</v>
      </c>
      <c r="V104" s="25">
        <v>128.19999999999999</v>
      </c>
      <c r="W104" s="25">
        <v>131.5</v>
      </c>
      <c r="X104" s="25"/>
      <c r="Y104" s="25" t="s">
        <v>32</v>
      </c>
      <c r="Z104" s="25">
        <v>125.6</v>
      </c>
      <c r="AA104" s="25"/>
      <c r="AB104" s="25">
        <v>125.6</v>
      </c>
      <c r="AC104" s="25"/>
      <c r="AD104" s="25">
        <v>122.6</v>
      </c>
      <c r="AE104" s="25"/>
      <c r="AF104" s="25">
        <v>114</v>
      </c>
      <c r="AG104" s="25"/>
      <c r="AH104" s="25">
        <v>120.9</v>
      </c>
      <c r="AI104" s="25"/>
      <c r="AJ104" s="25">
        <v>125.8</v>
      </c>
      <c r="AK104" s="25"/>
      <c r="AL104" s="25">
        <v>114.2</v>
      </c>
      <c r="AM104" s="25"/>
      <c r="AN104" s="25">
        <v>119.6</v>
      </c>
      <c r="AO104" s="25"/>
      <c r="AP104" s="25">
        <v>128.30000000000001</v>
      </c>
    </row>
    <row r="105" spans="1:42" hidden="1" x14ac:dyDescent="0.3">
      <c r="A105" s="25" t="s">
        <v>33</v>
      </c>
      <c r="B105" s="25">
        <v>2015</v>
      </c>
      <c r="C105" s="25" t="s">
        <v>45</v>
      </c>
      <c r="D105" s="26">
        <f>DATE(B105,MATCH(TRIM(C105),{"January","February","March","April","May","June","July","August","September","October","November","December"},0),1)</f>
        <v>42309</v>
      </c>
      <c r="E105" s="25">
        <v>124</v>
      </c>
      <c r="F105" s="25">
        <v>129.80000000000001</v>
      </c>
      <c r="G105" s="25">
        <v>121.5</v>
      </c>
      <c r="H105" s="25">
        <v>128.6</v>
      </c>
      <c r="I105" s="25">
        <v>110</v>
      </c>
      <c r="J105" s="25">
        <v>123.7</v>
      </c>
      <c r="K105" s="25">
        <v>164.6</v>
      </c>
      <c r="L105" s="25">
        <v>191.6</v>
      </c>
      <c r="M105" s="25">
        <v>90.8</v>
      </c>
      <c r="N105" s="25">
        <v>137.1</v>
      </c>
      <c r="O105" s="25">
        <v>119.8</v>
      </c>
      <c r="P105" s="25">
        <v>133.69999999999999</v>
      </c>
      <c r="Q105" s="25">
        <v>133.30000000000001</v>
      </c>
      <c r="R105" s="25"/>
      <c r="S105" s="25">
        <v>137.6</v>
      </c>
      <c r="T105" s="25"/>
      <c r="U105" s="25">
        <v>125</v>
      </c>
      <c r="V105" s="25">
        <v>119.3</v>
      </c>
      <c r="W105" s="25">
        <v>124.2</v>
      </c>
      <c r="X105" s="25"/>
      <c r="Y105" s="25">
        <v>122.9</v>
      </c>
      <c r="Z105" s="25">
        <v>115.1</v>
      </c>
      <c r="AA105" s="25"/>
      <c r="AB105" s="25">
        <v>121</v>
      </c>
      <c r="AC105" s="25"/>
      <c r="AD105" s="25">
        <v>118.1</v>
      </c>
      <c r="AE105" s="25"/>
      <c r="AF105" s="25">
        <v>109.3</v>
      </c>
      <c r="AG105" s="25"/>
      <c r="AH105" s="25">
        <v>117.9</v>
      </c>
      <c r="AI105" s="25"/>
      <c r="AJ105" s="25">
        <v>126.6</v>
      </c>
      <c r="AK105" s="25"/>
      <c r="AL105" s="25">
        <v>113.3</v>
      </c>
      <c r="AM105" s="25"/>
      <c r="AN105" s="25">
        <v>116.6</v>
      </c>
      <c r="AO105" s="25"/>
      <c r="AP105" s="25">
        <v>124.6</v>
      </c>
    </row>
    <row r="106" spans="1:42" hidden="1" x14ac:dyDescent="0.3">
      <c r="A106" s="25" t="s">
        <v>34</v>
      </c>
      <c r="B106" s="25">
        <v>2015</v>
      </c>
      <c r="C106" s="25" t="s">
        <v>45</v>
      </c>
      <c r="D106" s="26">
        <f>DATE(B106,MATCH(TRIM(C106),{"January","February","March","April","May","June","July","August","September","October","November","December"},0),1)</f>
        <v>42309</v>
      </c>
      <c r="E106" s="25">
        <v>125.4</v>
      </c>
      <c r="F106" s="25">
        <v>130.30000000000001</v>
      </c>
      <c r="G106" s="25">
        <v>121.6</v>
      </c>
      <c r="H106" s="25">
        <v>129.19999999999999</v>
      </c>
      <c r="I106" s="25">
        <v>114.9</v>
      </c>
      <c r="J106" s="25">
        <v>128.19999999999999</v>
      </c>
      <c r="K106" s="25">
        <v>158.4</v>
      </c>
      <c r="L106" s="25">
        <v>171.2</v>
      </c>
      <c r="M106" s="25">
        <v>93.3</v>
      </c>
      <c r="N106" s="25">
        <v>131.19999999999999</v>
      </c>
      <c r="O106" s="25">
        <v>121.7</v>
      </c>
      <c r="P106" s="25">
        <v>134</v>
      </c>
      <c r="Q106" s="25">
        <v>132.69999999999999</v>
      </c>
      <c r="R106" s="25"/>
      <c r="S106" s="25">
        <v>133.6</v>
      </c>
      <c r="T106" s="25"/>
      <c r="U106" s="25">
        <v>129.30000000000001</v>
      </c>
      <c r="V106" s="25">
        <v>124.5</v>
      </c>
      <c r="W106" s="25">
        <v>128.6</v>
      </c>
      <c r="X106" s="25"/>
      <c r="Y106" s="25">
        <v>122.9</v>
      </c>
      <c r="Z106" s="25">
        <v>121.6</v>
      </c>
      <c r="AA106" s="25"/>
      <c r="AB106" s="25">
        <v>123.4</v>
      </c>
      <c r="AC106" s="25"/>
      <c r="AD106" s="25">
        <v>120.9</v>
      </c>
      <c r="AE106" s="25"/>
      <c r="AF106" s="25">
        <v>111.5</v>
      </c>
      <c r="AG106" s="25"/>
      <c r="AH106" s="25">
        <v>119.2</v>
      </c>
      <c r="AI106" s="25"/>
      <c r="AJ106" s="25">
        <v>126.3</v>
      </c>
      <c r="AK106" s="25"/>
      <c r="AL106" s="25">
        <v>113.8</v>
      </c>
      <c r="AM106" s="25"/>
      <c r="AN106" s="25">
        <v>118.1</v>
      </c>
      <c r="AO106" s="25"/>
      <c r="AP106" s="25">
        <v>126.6</v>
      </c>
    </row>
    <row r="107" spans="1:42" hidden="1" x14ac:dyDescent="0.3">
      <c r="A107" s="25" t="s">
        <v>30</v>
      </c>
      <c r="B107" s="25">
        <v>2015</v>
      </c>
      <c r="C107" s="25" t="s">
        <v>46</v>
      </c>
      <c r="D107" s="26">
        <f>DATE(B107,MATCH(TRIM(C107),{"January","February","March","April","May","June","July","August","September","October","November","December"},0),1)</f>
        <v>42339</v>
      </c>
      <c r="E107" s="25">
        <v>126.3</v>
      </c>
      <c r="F107" s="25">
        <v>131.30000000000001</v>
      </c>
      <c r="G107" s="25">
        <v>123.3</v>
      </c>
      <c r="H107" s="25">
        <v>129.80000000000001</v>
      </c>
      <c r="I107" s="25">
        <v>118.3</v>
      </c>
      <c r="J107" s="25">
        <v>131.6</v>
      </c>
      <c r="K107" s="25">
        <v>145.5</v>
      </c>
      <c r="L107" s="25">
        <v>162.1</v>
      </c>
      <c r="M107" s="25">
        <v>95.4</v>
      </c>
      <c r="N107" s="25">
        <v>128.9</v>
      </c>
      <c r="O107" s="25">
        <v>123.3</v>
      </c>
      <c r="P107" s="25">
        <v>135.1</v>
      </c>
      <c r="Q107" s="25">
        <v>131.4</v>
      </c>
      <c r="R107" s="25"/>
      <c r="S107" s="25">
        <v>133.1</v>
      </c>
      <c r="T107" s="25"/>
      <c r="U107" s="25">
        <v>132.5</v>
      </c>
      <c r="V107" s="25">
        <v>128.5</v>
      </c>
      <c r="W107" s="25">
        <v>131.9</v>
      </c>
      <c r="X107" s="25"/>
      <c r="Y107" s="25" t="s">
        <v>32</v>
      </c>
      <c r="Z107" s="25">
        <v>125.7</v>
      </c>
      <c r="AA107" s="25"/>
      <c r="AB107" s="25">
        <v>126</v>
      </c>
      <c r="AC107" s="25"/>
      <c r="AD107" s="25">
        <v>123.1</v>
      </c>
      <c r="AE107" s="25"/>
      <c r="AF107" s="25">
        <v>114</v>
      </c>
      <c r="AG107" s="25"/>
      <c r="AH107" s="25">
        <v>121.6</v>
      </c>
      <c r="AI107" s="25"/>
      <c r="AJ107" s="25">
        <v>125.6</v>
      </c>
      <c r="AK107" s="25"/>
      <c r="AL107" s="25">
        <v>114.1</v>
      </c>
      <c r="AM107" s="25"/>
      <c r="AN107" s="25">
        <v>119.8</v>
      </c>
      <c r="AO107" s="25"/>
      <c r="AP107" s="25">
        <v>127.9</v>
      </c>
    </row>
    <row r="108" spans="1:42" hidden="1" x14ac:dyDescent="0.3">
      <c r="A108" s="25" t="s">
        <v>33</v>
      </c>
      <c r="B108" s="25">
        <v>2015</v>
      </c>
      <c r="C108" s="25" t="s">
        <v>46</v>
      </c>
      <c r="D108" s="26">
        <f>DATE(B108,MATCH(TRIM(C108),{"January","February","March","April","May","June","July","August","September","October","November","December"},0),1)</f>
        <v>42339</v>
      </c>
      <c r="E108" s="25">
        <v>124.3</v>
      </c>
      <c r="F108" s="25">
        <v>131.69999999999999</v>
      </c>
      <c r="G108" s="25">
        <v>127.1</v>
      </c>
      <c r="H108" s="25">
        <v>128.6</v>
      </c>
      <c r="I108" s="25">
        <v>110</v>
      </c>
      <c r="J108" s="25">
        <v>120.8</v>
      </c>
      <c r="K108" s="25">
        <v>149</v>
      </c>
      <c r="L108" s="25">
        <v>190.1</v>
      </c>
      <c r="M108" s="25">
        <v>92.7</v>
      </c>
      <c r="N108" s="25">
        <v>138.6</v>
      </c>
      <c r="O108" s="25">
        <v>120.2</v>
      </c>
      <c r="P108" s="25">
        <v>134.19999999999999</v>
      </c>
      <c r="Q108" s="25">
        <v>131.5</v>
      </c>
      <c r="R108" s="25"/>
      <c r="S108" s="25">
        <v>138.19999999999999</v>
      </c>
      <c r="T108" s="25"/>
      <c r="U108" s="25">
        <v>125.4</v>
      </c>
      <c r="V108" s="25">
        <v>119.5</v>
      </c>
      <c r="W108" s="25">
        <v>124.5</v>
      </c>
      <c r="X108" s="25"/>
      <c r="Y108" s="25">
        <v>122.4</v>
      </c>
      <c r="Z108" s="25">
        <v>116</v>
      </c>
      <c r="AA108" s="25"/>
      <c r="AB108" s="25">
        <v>121</v>
      </c>
      <c r="AC108" s="25"/>
      <c r="AD108" s="25">
        <v>118.6</v>
      </c>
      <c r="AE108" s="25"/>
      <c r="AF108" s="25">
        <v>109.3</v>
      </c>
      <c r="AG108" s="25"/>
      <c r="AH108" s="25">
        <v>118.1</v>
      </c>
      <c r="AI108" s="25"/>
      <c r="AJ108" s="25">
        <v>126.6</v>
      </c>
      <c r="AK108" s="25"/>
      <c r="AL108" s="25">
        <v>113.2</v>
      </c>
      <c r="AM108" s="25"/>
      <c r="AN108" s="25">
        <v>116.7</v>
      </c>
      <c r="AO108" s="25"/>
      <c r="AP108" s="25">
        <v>124</v>
      </c>
    </row>
    <row r="109" spans="1:42" hidden="1" x14ac:dyDescent="0.3">
      <c r="A109" s="25" t="s">
        <v>34</v>
      </c>
      <c r="B109" s="25">
        <v>2015</v>
      </c>
      <c r="C109" s="25" t="s">
        <v>46</v>
      </c>
      <c r="D109" s="26">
        <f>DATE(B109,MATCH(TRIM(C109),{"January","February","March","April","May","June","July","August","September","October","November","December"},0),1)</f>
        <v>42339</v>
      </c>
      <c r="E109" s="25">
        <v>125.7</v>
      </c>
      <c r="F109" s="25">
        <v>131.4</v>
      </c>
      <c r="G109" s="25">
        <v>124.8</v>
      </c>
      <c r="H109" s="25">
        <v>129.4</v>
      </c>
      <c r="I109" s="25">
        <v>115.3</v>
      </c>
      <c r="J109" s="25">
        <v>126.6</v>
      </c>
      <c r="K109" s="25">
        <v>146.69999999999999</v>
      </c>
      <c r="L109" s="25">
        <v>171.5</v>
      </c>
      <c r="M109" s="25">
        <v>94.5</v>
      </c>
      <c r="N109" s="25">
        <v>132.1</v>
      </c>
      <c r="O109" s="25">
        <v>122</v>
      </c>
      <c r="P109" s="25">
        <v>134.69999999999999</v>
      </c>
      <c r="Q109" s="25">
        <v>131.4</v>
      </c>
      <c r="R109" s="25"/>
      <c r="S109" s="25">
        <v>134.5</v>
      </c>
      <c r="T109" s="25"/>
      <c r="U109" s="25">
        <v>129.69999999999999</v>
      </c>
      <c r="V109" s="25">
        <v>124.8</v>
      </c>
      <c r="W109" s="25">
        <v>129</v>
      </c>
      <c r="X109" s="25"/>
      <c r="Y109" s="25">
        <v>122.4</v>
      </c>
      <c r="Z109" s="25">
        <v>122</v>
      </c>
      <c r="AA109" s="25"/>
      <c r="AB109" s="25">
        <v>123.6</v>
      </c>
      <c r="AC109" s="25"/>
      <c r="AD109" s="25">
        <v>121.4</v>
      </c>
      <c r="AE109" s="25"/>
      <c r="AF109" s="25">
        <v>111.5</v>
      </c>
      <c r="AG109" s="25"/>
      <c r="AH109" s="25">
        <v>119.6</v>
      </c>
      <c r="AI109" s="25"/>
      <c r="AJ109" s="25">
        <v>126.2</v>
      </c>
      <c r="AK109" s="25"/>
      <c r="AL109" s="25">
        <v>113.7</v>
      </c>
      <c r="AM109" s="25"/>
      <c r="AN109" s="25">
        <v>118.3</v>
      </c>
      <c r="AO109" s="25"/>
      <c r="AP109" s="25">
        <v>126.1</v>
      </c>
    </row>
    <row r="110" spans="1:42" hidden="1" x14ac:dyDescent="0.3">
      <c r="A110" s="25" t="s">
        <v>30</v>
      </c>
      <c r="B110" s="25">
        <v>2016</v>
      </c>
      <c r="C110" s="25" t="s">
        <v>31</v>
      </c>
      <c r="D110" s="26">
        <f>DATE(B110,MATCH(TRIM(C110),{"January","February","March","April","May","June","July","August","September","October","November","December"},0),1)</f>
        <v>42370</v>
      </c>
      <c r="E110" s="25">
        <v>126.8</v>
      </c>
      <c r="F110" s="25">
        <v>133.19999999999999</v>
      </c>
      <c r="G110" s="25">
        <v>126.5</v>
      </c>
      <c r="H110" s="25">
        <v>130.30000000000001</v>
      </c>
      <c r="I110" s="25">
        <v>118.9</v>
      </c>
      <c r="J110" s="25">
        <v>131.6</v>
      </c>
      <c r="K110" s="25">
        <v>140.1</v>
      </c>
      <c r="L110" s="25">
        <v>163.80000000000001</v>
      </c>
      <c r="M110" s="25">
        <v>97.7</v>
      </c>
      <c r="N110" s="25">
        <v>129.6</v>
      </c>
      <c r="O110" s="25">
        <v>124.3</v>
      </c>
      <c r="P110" s="25">
        <v>135.9</v>
      </c>
      <c r="Q110" s="25">
        <v>131.4</v>
      </c>
      <c r="R110" s="25"/>
      <c r="S110" s="25">
        <v>133.6</v>
      </c>
      <c r="T110" s="25"/>
      <c r="U110" s="25">
        <v>133.19999999999999</v>
      </c>
      <c r="V110" s="25">
        <v>128.9</v>
      </c>
      <c r="W110" s="25">
        <v>132.6</v>
      </c>
      <c r="X110" s="25"/>
      <c r="Y110" s="25" t="s">
        <v>32</v>
      </c>
      <c r="Z110" s="25">
        <v>126.2</v>
      </c>
      <c r="AA110" s="25"/>
      <c r="AB110" s="25">
        <v>126.6</v>
      </c>
      <c r="AC110" s="25"/>
      <c r="AD110" s="25">
        <v>123.7</v>
      </c>
      <c r="AE110" s="25"/>
      <c r="AF110" s="25">
        <v>113.6</v>
      </c>
      <c r="AG110" s="25"/>
      <c r="AH110" s="25">
        <v>121.4</v>
      </c>
      <c r="AI110" s="25"/>
      <c r="AJ110" s="25">
        <v>126.2</v>
      </c>
      <c r="AK110" s="25"/>
      <c r="AL110" s="25">
        <v>114.9</v>
      </c>
      <c r="AM110" s="25"/>
      <c r="AN110" s="25">
        <v>120.1</v>
      </c>
      <c r="AO110" s="25"/>
      <c r="AP110" s="25">
        <v>128.1</v>
      </c>
    </row>
    <row r="111" spans="1:42" hidden="1" x14ac:dyDescent="0.3">
      <c r="A111" s="25" t="s">
        <v>33</v>
      </c>
      <c r="B111" s="25">
        <v>2016</v>
      </c>
      <c r="C111" s="25" t="s">
        <v>31</v>
      </c>
      <c r="D111" s="26">
        <f>DATE(B111,MATCH(TRIM(C111),{"January","February","March","April","May","June","July","August","September","October","November","December"},0),1)</f>
        <v>42370</v>
      </c>
      <c r="E111" s="25">
        <v>124.7</v>
      </c>
      <c r="F111" s="25">
        <v>135.9</v>
      </c>
      <c r="G111" s="25">
        <v>132</v>
      </c>
      <c r="H111" s="25">
        <v>129.19999999999999</v>
      </c>
      <c r="I111" s="25">
        <v>109.7</v>
      </c>
      <c r="J111" s="25">
        <v>119</v>
      </c>
      <c r="K111" s="25">
        <v>144.1</v>
      </c>
      <c r="L111" s="25">
        <v>184.2</v>
      </c>
      <c r="M111" s="25">
        <v>96.7</v>
      </c>
      <c r="N111" s="25">
        <v>139.5</v>
      </c>
      <c r="O111" s="25">
        <v>120.5</v>
      </c>
      <c r="P111" s="25">
        <v>134.69999999999999</v>
      </c>
      <c r="Q111" s="25">
        <v>131.19999999999999</v>
      </c>
      <c r="R111" s="25"/>
      <c r="S111" s="25">
        <v>139.5</v>
      </c>
      <c r="T111" s="25"/>
      <c r="U111" s="25">
        <v>125.8</v>
      </c>
      <c r="V111" s="25">
        <v>119.8</v>
      </c>
      <c r="W111" s="25">
        <v>124.9</v>
      </c>
      <c r="X111" s="25"/>
      <c r="Y111" s="25">
        <v>123.4</v>
      </c>
      <c r="Z111" s="25">
        <v>116.9</v>
      </c>
      <c r="AA111" s="25"/>
      <c r="AB111" s="25">
        <v>121.6</v>
      </c>
      <c r="AC111" s="25"/>
      <c r="AD111" s="25">
        <v>119.1</v>
      </c>
      <c r="AE111" s="25"/>
      <c r="AF111" s="25">
        <v>108.9</v>
      </c>
      <c r="AG111" s="25"/>
      <c r="AH111" s="25">
        <v>118.5</v>
      </c>
      <c r="AI111" s="25"/>
      <c r="AJ111" s="25">
        <v>126.4</v>
      </c>
      <c r="AK111" s="25"/>
      <c r="AL111" s="25">
        <v>114</v>
      </c>
      <c r="AM111" s="25"/>
      <c r="AN111" s="25">
        <v>116.8</v>
      </c>
      <c r="AO111" s="25"/>
      <c r="AP111" s="25">
        <v>124.2</v>
      </c>
    </row>
    <row r="112" spans="1:42" hidden="1" x14ac:dyDescent="0.3">
      <c r="A112" s="25" t="s">
        <v>34</v>
      </c>
      <c r="B112" s="25">
        <v>2016</v>
      </c>
      <c r="C112" s="25" t="s">
        <v>31</v>
      </c>
      <c r="D112" s="26">
        <f>DATE(B112,MATCH(TRIM(C112),{"January","February","March","April","May","June","July","August","September","October","November","December"},0),1)</f>
        <v>42370</v>
      </c>
      <c r="E112" s="25">
        <v>126.1</v>
      </c>
      <c r="F112" s="25">
        <v>134.1</v>
      </c>
      <c r="G112" s="25">
        <v>128.6</v>
      </c>
      <c r="H112" s="25">
        <v>129.9</v>
      </c>
      <c r="I112" s="25">
        <v>115.5</v>
      </c>
      <c r="J112" s="25">
        <v>125.7</v>
      </c>
      <c r="K112" s="25">
        <v>141.5</v>
      </c>
      <c r="L112" s="25">
        <v>170.7</v>
      </c>
      <c r="M112" s="25">
        <v>97.4</v>
      </c>
      <c r="N112" s="25">
        <v>132.9</v>
      </c>
      <c r="O112" s="25">
        <v>122.7</v>
      </c>
      <c r="P112" s="25">
        <v>135.30000000000001</v>
      </c>
      <c r="Q112" s="25">
        <v>131.30000000000001</v>
      </c>
      <c r="R112" s="25"/>
      <c r="S112" s="25">
        <v>135.19999999999999</v>
      </c>
      <c r="T112" s="25"/>
      <c r="U112" s="25">
        <v>130.30000000000001</v>
      </c>
      <c r="V112" s="25">
        <v>125.1</v>
      </c>
      <c r="W112" s="25">
        <v>129.5</v>
      </c>
      <c r="X112" s="25"/>
      <c r="Y112" s="25">
        <v>123.4</v>
      </c>
      <c r="Z112" s="25">
        <v>122.7</v>
      </c>
      <c r="AA112" s="25"/>
      <c r="AB112" s="25">
        <v>124.2</v>
      </c>
      <c r="AC112" s="25"/>
      <c r="AD112" s="25">
        <v>122</v>
      </c>
      <c r="AE112" s="25"/>
      <c r="AF112" s="25">
        <v>111.1</v>
      </c>
      <c r="AG112" s="25"/>
      <c r="AH112" s="25">
        <v>119.8</v>
      </c>
      <c r="AI112" s="25"/>
      <c r="AJ112" s="25">
        <v>126.3</v>
      </c>
      <c r="AK112" s="25"/>
      <c r="AL112" s="25">
        <v>114.5</v>
      </c>
      <c r="AM112" s="25"/>
      <c r="AN112" s="25">
        <v>118.5</v>
      </c>
      <c r="AO112" s="25"/>
      <c r="AP112" s="25">
        <v>126.3</v>
      </c>
    </row>
    <row r="113" spans="1:42" hidden="1" x14ac:dyDescent="0.3">
      <c r="A113" s="25" t="s">
        <v>30</v>
      </c>
      <c r="B113" s="25">
        <v>2016</v>
      </c>
      <c r="C113" s="25" t="s">
        <v>35</v>
      </c>
      <c r="D113" s="26">
        <f>DATE(B113,MATCH(TRIM(C113),{"January","February","March","April","May","June","July","August","September","October","November","December"},0),1)</f>
        <v>42401</v>
      </c>
      <c r="E113" s="25">
        <v>127.1</v>
      </c>
      <c r="F113" s="25">
        <v>133.69999999999999</v>
      </c>
      <c r="G113" s="25">
        <v>127.7</v>
      </c>
      <c r="H113" s="25">
        <v>130.69999999999999</v>
      </c>
      <c r="I113" s="25">
        <v>118.5</v>
      </c>
      <c r="J113" s="25">
        <v>130.4</v>
      </c>
      <c r="K113" s="25">
        <v>130.9</v>
      </c>
      <c r="L113" s="25">
        <v>162.80000000000001</v>
      </c>
      <c r="M113" s="25">
        <v>98.7</v>
      </c>
      <c r="N113" s="25">
        <v>130.6</v>
      </c>
      <c r="O113" s="25">
        <v>124.8</v>
      </c>
      <c r="P113" s="25">
        <v>136.4</v>
      </c>
      <c r="Q113" s="25">
        <v>130.30000000000001</v>
      </c>
      <c r="R113" s="25"/>
      <c r="S113" s="25">
        <v>134.4</v>
      </c>
      <c r="T113" s="25"/>
      <c r="U113" s="25">
        <v>133.9</v>
      </c>
      <c r="V113" s="25">
        <v>129.80000000000001</v>
      </c>
      <c r="W113" s="25">
        <v>133.4</v>
      </c>
      <c r="X113" s="25"/>
      <c r="Y113" s="25" t="s">
        <v>32</v>
      </c>
      <c r="Z113" s="25">
        <v>127.5</v>
      </c>
      <c r="AA113" s="25"/>
      <c r="AB113" s="25">
        <v>127.1</v>
      </c>
      <c r="AC113" s="25"/>
      <c r="AD113" s="25">
        <v>124.3</v>
      </c>
      <c r="AE113" s="25"/>
      <c r="AF113" s="25">
        <v>113.9</v>
      </c>
      <c r="AG113" s="25"/>
      <c r="AH113" s="25">
        <v>122.3</v>
      </c>
      <c r="AI113" s="25"/>
      <c r="AJ113" s="25">
        <v>127.1</v>
      </c>
      <c r="AK113" s="25"/>
      <c r="AL113" s="25">
        <v>116.8</v>
      </c>
      <c r="AM113" s="25"/>
      <c r="AN113" s="25">
        <v>120.9</v>
      </c>
      <c r="AO113" s="25"/>
      <c r="AP113" s="25">
        <v>127.9</v>
      </c>
    </row>
    <row r="114" spans="1:42" hidden="1" x14ac:dyDescent="0.3">
      <c r="A114" s="25" t="s">
        <v>33</v>
      </c>
      <c r="B114" s="25">
        <v>2016</v>
      </c>
      <c r="C114" s="25" t="s">
        <v>35</v>
      </c>
      <c r="D114" s="26">
        <f>DATE(B114,MATCH(TRIM(C114),{"January","February","March","April","May","June","July","August","September","October","November","December"},0),1)</f>
        <v>42401</v>
      </c>
      <c r="E114" s="25">
        <v>124.8</v>
      </c>
      <c r="F114" s="25">
        <v>135.1</v>
      </c>
      <c r="G114" s="25">
        <v>130.30000000000001</v>
      </c>
      <c r="H114" s="25">
        <v>129.6</v>
      </c>
      <c r="I114" s="25">
        <v>108.4</v>
      </c>
      <c r="J114" s="25">
        <v>118.6</v>
      </c>
      <c r="K114" s="25">
        <v>129.19999999999999</v>
      </c>
      <c r="L114" s="25">
        <v>176.4</v>
      </c>
      <c r="M114" s="25">
        <v>99.1</v>
      </c>
      <c r="N114" s="25">
        <v>139.69999999999999</v>
      </c>
      <c r="O114" s="25">
        <v>120.6</v>
      </c>
      <c r="P114" s="25">
        <v>135.19999999999999</v>
      </c>
      <c r="Q114" s="25">
        <v>129.1</v>
      </c>
      <c r="R114" s="25"/>
      <c r="S114" s="25">
        <v>140</v>
      </c>
      <c r="T114" s="25"/>
      <c r="U114" s="25">
        <v>126.2</v>
      </c>
      <c r="V114" s="25">
        <v>120.1</v>
      </c>
      <c r="W114" s="25">
        <v>125.3</v>
      </c>
      <c r="X114" s="25"/>
      <c r="Y114" s="25">
        <v>124.4</v>
      </c>
      <c r="Z114" s="25">
        <v>116</v>
      </c>
      <c r="AA114" s="25"/>
      <c r="AB114" s="25">
        <v>121.8</v>
      </c>
      <c r="AC114" s="25"/>
      <c r="AD114" s="25">
        <v>119.5</v>
      </c>
      <c r="AE114" s="25"/>
      <c r="AF114" s="25">
        <v>109.1</v>
      </c>
      <c r="AG114" s="25"/>
      <c r="AH114" s="25">
        <v>118.8</v>
      </c>
      <c r="AI114" s="25"/>
      <c r="AJ114" s="25">
        <v>126.3</v>
      </c>
      <c r="AK114" s="25"/>
      <c r="AL114" s="25">
        <v>116.2</v>
      </c>
      <c r="AM114" s="25"/>
      <c r="AN114" s="25">
        <v>117.2</v>
      </c>
      <c r="AO114" s="25"/>
      <c r="AP114" s="25">
        <v>123.8</v>
      </c>
    </row>
    <row r="115" spans="1:42" hidden="1" x14ac:dyDescent="0.3">
      <c r="A115" s="25" t="s">
        <v>34</v>
      </c>
      <c r="B115" s="25">
        <v>2016</v>
      </c>
      <c r="C115" s="25" t="s">
        <v>35</v>
      </c>
      <c r="D115" s="26">
        <f>DATE(B115,MATCH(TRIM(C115),{"January","February","March","April","May","June","July","August","September","October","November","December"},0),1)</f>
        <v>42401</v>
      </c>
      <c r="E115" s="25">
        <v>126.4</v>
      </c>
      <c r="F115" s="25">
        <v>134.19999999999999</v>
      </c>
      <c r="G115" s="25">
        <v>128.69999999999999</v>
      </c>
      <c r="H115" s="25">
        <v>130.30000000000001</v>
      </c>
      <c r="I115" s="25">
        <v>114.8</v>
      </c>
      <c r="J115" s="25">
        <v>124.9</v>
      </c>
      <c r="K115" s="25">
        <v>130.30000000000001</v>
      </c>
      <c r="L115" s="25">
        <v>167.4</v>
      </c>
      <c r="M115" s="25">
        <v>98.8</v>
      </c>
      <c r="N115" s="25">
        <v>133.6</v>
      </c>
      <c r="O115" s="25">
        <v>123</v>
      </c>
      <c r="P115" s="25">
        <v>135.80000000000001</v>
      </c>
      <c r="Q115" s="25">
        <v>129.9</v>
      </c>
      <c r="R115" s="25"/>
      <c r="S115" s="25">
        <v>135.9</v>
      </c>
      <c r="T115" s="25"/>
      <c r="U115" s="25">
        <v>130.9</v>
      </c>
      <c r="V115" s="25">
        <v>125.8</v>
      </c>
      <c r="W115" s="25">
        <v>130.19999999999999</v>
      </c>
      <c r="X115" s="25"/>
      <c r="Y115" s="25">
        <v>124.4</v>
      </c>
      <c r="Z115" s="25">
        <v>123.1</v>
      </c>
      <c r="AA115" s="25"/>
      <c r="AB115" s="25">
        <v>124.6</v>
      </c>
      <c r="AC115" s="25"/>
      <c r="AD115" s="25">
        <v>122.5</v>
      </c>
      <c r="AE115" s="25"/>
      <c r="AF115" s="25">
        <v>111.4</v>
      </c>
      <c r="AG115" s="25"/>
      <c r="AH115" s="25">
        <v>120.3</v>
      </c>
      <c r="AI115" s="25"/>
      <c r="AJ115" s="25">
        <v>126.6</v>
      </c>
      <c r="AK115" s="25"/>
      <c r="AL115" s="25">
        <v>116.6</v>
      </c>
      <c r="AM115" s="25"/>
      <c r="AN115" s="25">
        <v>119.1</v>
      </c>
      <c r="AO115" s="25"/>
      <c r="AP115" s="25">
        <v>126</v>
      </c>
    </row>
    <row r="116" spans="1:42" hidden="1" x14ac:dyDescent="0.3">
      <c r="A116" s="25" t="s">
        <v>30</v>
      </c>
      <c r="B116" s="25">
        <v>2016</v>
      </c>
      <c r="C116" s="25" t="s">
        <v>36</v>
      </c>
      <c r="D116" s="26">
        <f>DATE(B116,MATCH(TRIM(C116),{"January","February","March","April","May","June","July","August","September","October","November","December"},0),1)</f>
        <v>42430</v>
      </c>
      <c r="E116" s="25">
        <v>127.3</v>
      </c>
      <c r="F116" s="25">
        <v>134.4</v>
      </c>
      <c r="G116" s="25">
        <v>125.1</v>
      </c>
      <c r="H116" s="25">
        <v>130.5</v>
      </c>
      <c r="I116" s="25">
        <v>118.3</v>
      </c>
      <c r="J116" s="25">
        <v>131.69999999999999</v>
      </c>
      <c r="K116" s="25">
        <v>130.69999999999999</v>
      </c>
      <c r="L116" s="25">
        <v>161.19999999999999</v>
      </c>
      <c r="M116" s="25">
        <v>100.4</v>
      </c>
      <c r="N116" s="25">
        <v>130.80000000000001</v>
      </c>
      <c r="O116" s="25">
        <v>124.9</v>
      </c>
      <c r="P116" s="25">
        <v>137</v>
      </c>
      <c r="Q116" s="25">
        <v>130.4</v>
      </c>
      <c r="R116" s="25"/>
      <c r="S116" s="25">
        <v>135</v>
      </c>
      <c r="T116" s="25"/>
      <c r="U116" s="25">
        <v>134.4</v>
      </c>
      <c r="V116" s="25">
        <v>130.19999999999999</v>
      </c>
      <c r="W116" s="25">
        <v>133.80000000000001</v>
      </c>
      <c r="X116" s="25"/>
      <c r="Y116" s="25" t="s">
        <v>32</v>
      </c>
      <c r="Z116" s="25">
        <v>127</v>
      </c>
      <c r="AA116" s="25"/>
      <c r="AB116" s="25">
        <v>127.7</v>
      </c>
      <c r="AC116" s="25"/>
      <c r="AD116" s="25">
        <v>124.8</v>
      </c>
      <c r="AE116" s="25"/>
      <c r="AF116" s="25">
        <v>113.6</v>
      </c>
      <c r="AG116" s="25"/>
      <c r="AH116" s="25">
        <v>122.5</v>
      </c>
      <c r="AI116" s="25"/>
      <c r="AJ116" s="25">
        <v>127.5</v>
      </c>
      <c r="AK116" s="25"/>
      <c r="AL116" s="25">
        <v>117.4</v>
      </c>
      <c r="AM116" s="25"/>
      <c r="AN116" s="25">
        <v>121.1</v>
      </c>
      <c r="AO116" s="25"/>
      <c r="AP116" s="25">
        <v>128</v>
      </c>
    </row>
    <row r="117" spans="1:42" hidden="1" x14ac:dyDescent="0.3">
      <c r="A117" s="25" t="s">
        <v>33</v>
      </c>
      <c r="B117" s="25">
        <v>2016</v>
      </c>
      <c r="C117" s="25" t="s">
        <v>36</v>
      </c>
      <c r="D117" s="26">
        <f>DATE(B117,MATCH(TRIM(C117),{"January","February","March","April","May","June","July","August","September","October","November","December"},0),1)</f>
        <v>42430</v>
      </c>
      <c r="E117" s="25">
        <v>124.8</v>
      </c>
      <c r="F117" s="25">
        <v>136.30000000000001</v>
      </c>
      <c r="G117" s="25">
        <v>123.7</v>
      </c>
      <c r="H117" s="25">
        <v>129.69999999999999</v>
      </c>
      <c r="I117" s="25">
        <v>107.9</v>
      </c>
      <c r="J117" s="25">
        <v>119.9</v>
      </c>
      <c r="K117" s="25">
        <v>128.1</v>
      </c>
      <c r="L117" s="25">
        <v>170.3</v>
      </c>
      <c r="M117" s="25">
        <v>101.8</v>
      </c>
      <c r="N117" s="25">
        <v>140.1</v>
      </c>
      <c r="O117" s="25">
        <v>120.7</v>
      </c>
      <c r="P117" s="25">
        <v>135.4</v>
      </c>
      <c r="Q117" s="25">
        <v>128.9</v>
      </c>
      <c r="R117" s="25"/>
      <c r="S117" s="25">
        <v>140.6</v>
      </c>
      <c r="T117" s="25"/>
      <c r="U117" s="25">
        <v>126.4</v>
      </c>
      <c r="V117" s="25">
        <v>120.3</v>
      </c>
      <c r="W117" s="25">
        <v>125.5</v>
      </c>
      <c r="X117" s="25"/>
      <c r="Y117" s="25">
        <v>124.9</v>
      </c>
      <c r="Z117" s="25">
        <v>114.8</v>
      </c>
      <c r="AA117" s="25"/>
      <c r="AB117" s="25">
        <v>122.3</v>
      </c>
      <c r="AC117" s="25"/>
      <c r="AD117" s="25">
        <v>119.7</v>
      </c>
      <c r="AE117" s="25"/>
      <c r="AF117" s="25">
        <v>108.5</v>
      </c>
      <c r="AG117" s="25"/>
      <c r="AH117" s="25">
        <v>119.1</v>
      </c>
      <c r="AI117" s="25"/>
      <c r="AJ117" s="25">
        <v>126.4</v>
      </c>
      <c r="AK117" s="25"/>
      <c r="AL117" s="25">
        <v>117.1</v>
      </c>
      <c r="AM117" s="25"/>
      <c r="AN117" s="25">
        <v>117.3</v>
      </c>
      <c r="AO117" s="25"/>
      <c r="AP117" s="25">
        <v>123.8</v>
      </c>
    </row>
    <row r="118" spans="1:42" hidden="1" x14ac:dyDescent="0.3">
      <c r="A118" s="25" t="s">
        <v>34</v>
      </c>
      <c r="B118" s="25">
        <v>2016</v>
      </c>
      <c r="C118" s="25" t="s">
        <v>36</v>
      </c>
      <c r="D118" s="26">
        <f>DATE(B118,MATCH(TRIM(C118),{"January","February","March","April","May","June","July","August","September","October","November","December"},0),1)</f>
        <v>42430</v>
      </c>
      <c r="E118" s="25">
        <v>126.5</v>
      </c>
      <c r="F118" s="25">
        <v>135.1</v>
      </c>
      <c r="G118" s="25">
        <v>124.6</v>
      </c>
      <c r="H118" s="25">
        <v>130.19999999999999</v>
      </c>
      <c r="I118" s="25">
        <v>114.5</v>
      </c>
      <c r="J118" s="25">
        <v>126.2</v>
      </c>
      <c r="K118" s="25">
        <v>129.80000000000001</v>
      </c>
      <c r="L118" s="25">
        <v>164.3</v>
      </c>
      <c r="M118" s="25">
        <v>100.9</v>
      </c>
      <c r="N118" s="25">
        <v>133.9</v>
      </c>
      <c r="O118" s="25">
        <v>123.1</v>
      </c>
      <c r="P118" s="25">
        <v>136.30000000000001</v>
      </c>
      <c r="Q118" s="25">
        <v>129.80000000000001</v>
      </c>
      <c r="R118" s="25"/>
      <c r="S118" s="25">
        <v>136.5</v>
      </c>
      <c r="T118" s="25"/>
      <c r="U118" s="25">
        <v>131.30000000000001</v>
      </c>
      <c r="V118" s="25">
        <v>126.1</v>
      </c>
      <c r="W118" s="25">
        <v>130.5</v>
      </c>
      <c r="X118" s="25"/>
      <c r="Y118" s="25">
        <v>124.9</v>
      </c>
      <c r="Z118" s="25">
        <v>122.4</v>
      </c>
      <c r="AA118" s="25"/>
      <c r="AB118" s="25">
        <v>125.1</v>
      </c>
      <c r="AC118" s="25"/>
      <c r="AD118" s="25">
        <v>122.9</v>
      </c>
      <c r="AE118" s="25"/>
      <c r="AF118" s="25">
        <v>110.9</v>
      </c>
      <c r="AG118" s="25"/>
      <c r="AH118" s="25">
        <v>120.6</v>
      </c>
      <c r="AI118" s="25"/>
      <c r="AJ118" s="25">
        <v>126.9</v>
      </c>
      <c r="AK118" s="25"/>
      <c r="AL118" s="25">
        <v>117.3</v>
      </c>
      <c r="AM118" s="25"/>
      <c r="AN118" s="25">
        <v>119.3</v>
      </c>
      <c r="AO118" s="25"/>
      <c r="AP118" s="25">
        <v>126</v>
      </c>
    </row>
    <row r="119" spans="1:42" hidden="1" x14ac:dyDescent="0.3">
      <c r="A119" s="25" t="s">
        <v>30</v>
      </c>
      <c r="B119" s="25">
        <v>2016</v>
      </c>
      <c r="C119" s="25" t="s">
        <v>37</v>
      </c>
      <c r="D119" s="26">
        <f>DATE(B119,MATCH(TRIM(C119),{"January","February","March","April","May","June","July","August","September","October","November","December"},0),1)</f>
        <v>42461</v>
      </c>
      <c r="E119" s="25">
        <v>127.4</v>
      </c>
      <c r="F119" s="25">
        <v>135.4</v>
      </c>
      <c r="G119" s="25">
        <v>123.4</v>
      </c>
      <c r="H119" s="25">
        <v>131.30000000000001</v>
      </c>
      <c r="I119" s="25">
        <v>118.2</v>
      </c>
      <c r="J119" s="25">
        <v>138.1</v>
      </c>
      <c r="K119" s="25">
        <v>134.1</v>
      </c>
      <c r="L119" s="25">
        <v>162.69999999999999</v>
      </c>
      <c r="M119" s="25">
        <v>105</v>
      </c>
      <c r="N119" s="25">
        <v>131.4</v>
      </c>
      <c r="O119" s="25">
        <v>125.4</v>
      </c>
      <c r="P119" s="25">
        <v>137.4</v>
      </c>
      <c r="Q119" s="25">
        <v>131.80000000000001</v>
      </c>
      <c r="R119" s="25"/>
      <c r="S119" s="25">
        <v>135.5</v>
      </c>
      <c r="T119" s="25"/>
      <c r="U119" s="25">
        <v>135</v>
      </c>
      <c r="V119" s="25">
        <v>130.6</v>
      </c>
      <c r="W119" s="25">
        <v>134.4</v>
      </c>
      <c r="X119" s="25"/>
      <c r="Y119" s="25" t="s">
        <v>32</v>
      </c>
      <c r="Z119" s="25">
        <v>127</v>
      </c>
      <c r="AA119" s="25"/>
      <c r="AB119" s="25">
        <v>128</v>
      </c>
      <c r="AC119" s="25"/>
      <c r="AD119" s="25">
        <v>125.2</v>
      </c>
      <c r="AE119" s="25"/>
      <c r="AF119" s="25">
        <v>114.4</v>
      </c>
      <c r="AG119" s="25"/>
      <c r="AH119" s="25">
        <v>123.2</v>
      </c>
      <c r="AI119" s="25"/>
      <c r="AJ119" s="25">
        <v>127.9</v>
      </c>
      <c r="AK119" s="25"/>
      <c r="AL119" s="25">
        <v>118.4</v>
      </c>
      <c r="AM119" s="25"/>
      <c r="AN119" s="25">
        <v>121.7</v>
      </c>
      <c r="AO119" s="25"/>
      <c r="AP119" s="25">
        <v>129</v>
      </c>
    </row>
    <row r="120" spans="1:42" hidden="1" x14ac:dyDescent="0.3">
      <c r="A120" s="25" t="s">
        <v>33</v>
      </c>
      <c r="B120" s="25">
        <v>2016</v>
      </c>
      <c r="C120" s="25" t="s">
        <v>37</v>
      </c>
      <c r="D120" s="26">
        <f>DATE(B120,MATCH(TRIM(C120),{"January","February","March","April","May","June","July","August","September","October","November","December"},0),1)</f>
        <v>42461</v>
      </c>
      <c r="E120" s="25">
        <v>124.9</v>
      </c>
      <c r="F120" s="25">
        <v>139.30000000000001</v>
      </c>
      <c r="G120" s="25">
        <v>119.9</v>
      </c>
      <c r="H120" s="25">
        <v>130.19999999999999</v>
      </c>
      <c r="I120" s="25">
        <v>108.9</v>
      </c>
      <c r="J120" s="25">
        <v>131.1</v>
      </c>
      <c r="K120" s="25">
        <v>136.80000000000001</v>
      </c>
      <c r="L120" s="25">
        <v>176.9</v>
      </c>
      <c r="M120" s="25">
        <v>109.1</v>
      </c>
      <c r="N120" s="25">
        <v>140.4</v>
      </c>
      <c r="O120" s="25">
        <v>121.1</v>
      </c>
      <c r="P120" s="25">
        <v>135.9</v>
      </c>
      <c r="Q120" s="25">
        <v>131.80000000000001</v>
      </c>
      <c r="R120" s="25"/>
      <c r="S120" s="25">
        <v>141.5</v>
      </c>
      <c r="T120" s="25"/>
      <c r="U120" s="25">
        <v>126.8</v>
      </c>
      <c r="V120" s="25">
        <v>120.5</v>
      </c>
      <c r="W120" s="25">
        <v>125.8</v>
      </c>
      <c r="X120" s="25"/>
      <c r="Y120" s="25">
        <v>125.6</v>
      </c>
      <c r="Z120" s="25">
        <v>114.6</v>
      </c>
      <c r="AA120" s="25"/>
      <c r="AB120" s="25">
        <v>122.8</v>
      </c>
      <c r="AC120" s="25"/>
      <c r="AD120" s="25">
        <v>120</v>
      </c>
      <c r="AE120" s="25"/>
      <c r="AF120" s="25">
        <v>110</v>
      </c>
      <c r="AG120" s="25"/>
      <c r="AH120" s="25">
        <v>119.5</v>
      </c>
      <c r="AI120" s="25"/>
      <c r="AJ120" s="25">
        <v>127.6</v>
      </c>
      <c r="AK120" s="25"/>
      <c r="AL120" s="25">
        <v>117.6</v>
      </c>
      <c r="AM120" s="25"/>
      <c r="AN120" s="25">
        <v>118.2</v>
      </c>
      <c r="AO120" s="25"/>
      <c r="AP120" s="25">
        <v>125.3</v>
      </c>
    </row>
    <row r="121" spans="1:42" hidden="1" x14ac:dyDescent="0.3">
      <c r="A121" s="25" t="s">
        <v>34</v>
      </c>
      <c r="B121" s="25">
        <v>2016</v>
      </c>
      <c r="C121" s="25" t="s">
        <v>37</v>
      </c>
      <c r="D121" s="26">
        <f>DATE(B121,MATCH(TRIM(C121),{"January","February","March","April","May","June","July","August","September","October","November","December"},0),1)</f>
        <v>42461</v>
      </c>
      <c r="E121" s="25">
        <v>126.6</v>
      </c>
      <c r="F121" s="25">
        <v>136.80000000000001</v>
      </c>
      <c r="G121" s="25">
        <v>122</v>
      </c>
      <c r="H121" s="25">
        <v>130.9</v>
      </c>
      <c r="I121" s="25">
        <v>114.8</v>
      </c>
      <c r="J121" s="25">
        <v>134.80000000000001</v>
      </c>
      <c r="K121" s="25">
        <v>135</v>
      </c>
      <c r="L121" s="25">
        <v>167.5</v>
      </c>
      <c r="M121" s="25">
        <v>106.4</v>
      </c>
      <c r="N121" s="25">
        <v>134.4</v>
      </c>
      <c r="O121" s="25">
        <v>123.6</v>
      </c>
      <c r="P121" s="25">
        <v>136.69999999999999</v>
      </c>
      <c r="Q121" s="25">
        <v>131.80000000000001</v>
      </c>
      <c r="R121" s="25"/>
      <c r="S121" s="25">
        <v>137.1</v>
      </c>
      <c r="T121" s="25"/>
      <c r="U121" s="25">
        <v>131.80000000000001</v>
      </c>
      <c r="V121" s="25">
        <v>126.4</v>
      </c>
      <c r="W121" s="25">
        <v>131</v>
      </c>
      <c r="X121" s="25"/>
      <c r="Y121" s="25">
        <v>125.6</v>
      </c>
      <c r="Z121" s="25">
        <v>122.3</v>
      </c>
      <c r="AA121" s="25"/>
      <c r="AB121" s="25">
        <v>125.5</v>
      </c>
      <c r="AC121" s="25"/>
      <c r="AD121" s="25">
        <v>123.2</v>
      </c>
      <c r="AE121" s="25"/>
      <c r="AF121" s="25">
        <v>112.1</v>
      </c>
      <c r="AG121" s="25"/>
      <c r="AH121" s="25">
        <v>121.1</v>
      </c>
      <c r="AI121" s="25"/>
      <c r="AJ121" s="25">
        <v>127.7</v>
      </c>
      <c r="AK121" s="25"/>
      <c r="AL121" s="25">
        <v>118.1</v>
      </c>
      <c r="AM121" s="25"/>
      <c r="AN121" s="25">
        <v>120</v>
      </c>
      <c r="AO121" s="25"/>
      <c r="AP121" s="25">
        <v>127.3</v>
      </c>
    </row>
    <row r="122" spans="1:42" hidden="1" x14ac:dyDescent="0.3">
      <c r="A122" s="25" t="s">
        <v>30</v>
      </c>
      <c r="B122" s="25">
        <v>2016</v>
      </c>
      <c r="C122" s="25" t="s">
        <v>38</v>
      </c>
      <c r="D122" s="26">
        <f>DATE(B122,MATCH(TRIM(C122),{"January","February","March","April","May","June","July","August","September","October","November","December"},0),1)</f>
        <v>42491</v>
      </c>
      <c r="E122" s="25">
        <v>127.6</v>
      </c>
      <c r="F122" s="25">
        <v>137.5</v>
      </c>
      <c r="G122" s="25">
        <v>124.4</v>
      </c>
      <c r="H122" s="25">
        <v>132.4</v>
      </c>
      <c r="I122" s="25">
        <v>118.2</v>
      </c>
      <c r="J122" s="25">
        <v>138.1</v>
      </c>
      <c r="K122" s="25">
        <v>141.80000000000001</v>
      </c>
      <c r="L122" s="25">
        <v>166</v>
      </c>
      <c r="M122" s="25">
        <v>107.5</v>
      </c>
      <c r="N122" s="25">
        <v>132.19999999999999</v>
      </c>
      <c r="O122" s="25">
        <v>126.1</v>
      </c>
      <c r="P122" s="25">
        <v>138.30000000000001</v>
      </c>
      <c r="Q122" s="25">
        <v>133.6</v>
      </c>
      <c r="R122" s="25"/>
      <c r="S122" s="25">
        <v>136</v>
      </c>
      <c r="T122" s="25"/>
      <c r="U122" s="25">
        <v>135.4</v>
      </c>
      <c r="V122" s="25">
        <v>131.1</v>
      </c>
      <c r="W122" s="25">
        <v>134.80000000000001</v>
      </c>
      <c r="X122" s="25"/>
      <c r="Y122" s="25" t="s">
        <v>32</v>
      </c>
      <c r="Z122" s="25">
        <v>127.4</v>
      </c>
      <c r="AA122" s="25"/>
      <c r="AB122" s="25">
        <v>128.5</v>
      </c>
      <c r="AC122" s="25"/>
      <c r="AD122" s="25">
        <v>125.8</v>
      </c>
      <c r="AE122" s="25"/>
      <c r="AF122" s="25">
        <v>115.1</v>
      </c>
      <c r="AG122" s="25"/>
      <c r="AH122" s="25">
        <v>123.6</v>
      </c>
      <c r="AI122" s="25"/>
      <c r="AJ122" s="25">
        <v>129.1</v>
      </c>
      <c r="AK122" s="25"/>
      <c r="AL122" s="25">
        <v>119.7</v>
      </c>
      <c r="AM122" s="25"/>
      <c r="AN122" s="25">
        <v>122.5</v>
      </c>
      <c r="AO122" s="25"/>
      <c r="AP122" s="25">
        <v>130.30000000000001</v>
      </c>
    </row>
    <row r="123" spans="1:42" hidden="1" x14ac:dyDescent="0.3">
      <c r="A123" s="25" t="s">
        <v>33</v>
      </c>
      <c r="B123" s="25">
        <v>2016</v>
      </c>
      <c r="C123" s="25" t="s">
        <v>38</v>
      </c>
      <c r="D123" s="26">
        <f>DATE(B123,MATCH(TRIM(C123),{"January","February","March","April","May","June","July","August","September","October","November","December"},0),1)</f>
        <v>42491</v>
      </c>
      <c r="E123" s="25">
        <v>125</v>
      </c>
      <c r="F123" s="25">
        <v>142.1</v>
      </c>
      <c r="G123" s="25">
        <v>127</v>
      </c>
      <c r="H123" s="25">
        <v>130.4</v>
      </c>
      <c r="I123" s="25">
        <v>109.6</v>
      </c>
      <c r="J123" s="25">
        <v>133.5</v>
      </c>
      <c r="K123" s="25">
        <v>151.4</v>
      </c>
      <c r="L123" s="25">
        <v>182.8</v>
      </c>
      <c r="M123" s="25">
        <v>111.1</v>
      </c>
      <c r="N123" s="25">
        <v>141.5</v>
      </c>
      <c r="O123" s="25">
        <v>121.5</v>
      </c>
      <c r="P123" s="25">
        <v>136.30000000000001</v>
      </c>
      <c r="Q123" s="25">
        <v>134.6</v>
      </c>
      <c r="R123" s="25"/>
      <c r="S123" s="25">
        <v>142.19999999999999</v>
      </c>
      <c r="T123" s="25"/>
      <c r="U123" s="25">
        <v>127.2</v>
      </c>
      <c r="V123" s="25">
        <v>120.7</v>
      </c>
      <c r="W123" s="25">
        <v>126.2</v>
      </c>
      <c r="X123" s="25"/>
      <c r="Y123" s="25">
        <v>126</v>
      </c>
      <c r="Z123" s="25">
        <v>115</v>
      </c>
      <c r="AA123" s="25"/>
      <c r="AB123" s="25">
        <v>123.2</v>
      </c>
      <c r="AC123" s="25"/>
      <c r="AD123" s="25">
        <v>120.3</v>
      </c>
      <c r="AE123" s="25"/>
      <c r="AF123" s="25">
        <v>110.7</v>
      </c>
      <c r="AG123" s="25"/>
      <c r="AH123" s="25">
        <v>119.8</v>
      </c>
      <c r="AI123" s="25"/>
      <c r="AJ123" s="25">
        <v>128</v>
      </c>
      <c r="AK123" s="25"/>
      <c r="AL123" s="25">
        <v>118.5</v>
      </c>
      <c r="AM123" s="25"/>
      <c r="AN123" s="25">
        <v>118.7</v>
      </c>
      <c r="AO123" s="25"/>
      <c r="AP123" s="25">
        <v>126.6</v>
      </c>
    </row>
    <row r="124" spans="1:42" hidden="1" x14ac:dyDescent="0.3">
      <c r="A124" s="25" t="s">
        <v>34</v>
      </c>
      <c r="B124" s="25">
        <v>2016</v>
      </c>
      <c r="C124" s="25" t="s">
        <v>38</v>
      </c>
      <c r="D124" s="26">
        <f>DATE(B124,MATCH(TRIM(C124),{"January","February","March","April","May","June","July","August","September","October","November","December"},0),1)</f>
        <v>42491</v>
      </c>
      <c r="E124" s="25">
        <v>126.8</v>
      </c>
      <c r="F124" s="25">
        <v>139.1</v>
      </c>
      <c r="G124" s="25">
        <v>125.4</v>
      </c>
      <c r="H124" s="25">
        <v>131.69999999999999</v>
      </c>
      <c r="I124" s="25">
        <v>115</v>
      </c>
      <c r="J124" s="25">
        <v>136</v>
      </c>
      <c r="K124" s="25">
        <v>145.1</v>
      </c>
      <c r="L124" s="25">
        <v>171.7</v>
      </c>
      <c r="M124" s="25">
        <v>108.7</v>
      </c>
      <c r="N124" s="25">
        <v>135.30000000000001</v>
      </c>
      <c r="O124" s="25">
        <v>124.2</v>
      </c>
      <c r="P124" s="25">
        <v>137.4</v>
      </c>
      <c r="Q124" s="25">
        <v>134</v>
      </c>
      <c r="R124" s="25"/>
      <c r="S124" s="25">
        <v>137.69999999999999</v>
      </c>
      <c r="T124" s="25"/>
      <c r="U124" s="25">
        <v>132.19999999999999</v>
      </c>
      <c r="V124" s="25">
        <v>126.8</v>
      </c>
      <c r="W124" s="25">
        <v>131.4</v>
      </c>
      <c r="X124" s="25"/>
      <c r="Y124" s="25">
        <v>126</v>
      </c>
      <c r="Z124" s="25">
        <v>122.7</v>
      </c>
      <c r="AA124" s="25"/>
      <c r="AB124" s="25">
        <v>126</v>
      </c>
      <c r="AC124" s="25"/>
      <c r="AD124" s="25">
        <v>123.7</v>
      </c>
      <c r="AE124" s="25"/>
      <c r="AF124" s="25">
        <v>112.8</v>
      </c>
      <c r="AG124" s="25"/>
      <c r="AH124" s="25">
        <v>121.5</v>
      </c>
      <c r="AI124" s="25"/>
      <c r="AJ124" s="25">
        <v>128.5</v>
      </c>
      <c r="AK124" s="25"/>
      <c r="AL124" s="25">
        <v>119.2</v>
      </c>
      <c r="AM124" s="25"/>
      <c r="AN124" s="25">
        <v>120.7</v>
      </c>
      <c r="AO124" s="25"/>
      <c r="AP124" s="25">
        <v>128.6</v>
      </c>
    </row>
    <row r="125" spans="1:42" hidden="1" x14ac:dyDescent="0.3">
      <c r="A125" s="25" t="s">
        <v>30</v>
      </c>
      <c r="B125" s="25">
        <v>2016</v>
      </c>
      <c r="C125" s="25" t="s">
        <v>39</v>
      </c>
      <c r="D125" s="26">
        <f>DATE(B125,MATCH(TRIM(C125),{"January","February","March","April","May","June","July","August","September","October","November","December"},0),1)</f>
        <v>42522</v>
      </c>
      <c r="E125" s="25">
        <v>128.6</v>
      </c>
      <c r="F125" s="25">
        <v>138.6</v>
      </c>
      <c r="G125" s="25">
        <v>126.6</v>
      </c>
      <c r="H125" s="25">
        <v>133.6</v>
      </c>
      <c r="I125" s="25">
        <v>118.6</v>
      </c>
      <c r="J125" s="25">
        <v>137.4</v>
      </c>
      <c r="K125" s="25">
        <v>152.5</v>
      </c>
      <c r="L125" s="25">
        <v>169.2</v>
      </c>
      <c r="M125" s="25">
        <v>108.8</v>
      </c>
      <c r="N125" s="25">
        <v>133.1</v>
      </c>
      <c r="O125" s="25">
        <v>126.4</v>
      </c>
      <c r="P125" s="25">
        <v>139.19999999999999</v>
      </c>
      <c r="Q125" s="25">
        <v>136</v>
      </c>
      <c r="R125" s="25"/>
      <c r="S125" s="25">
        <v>137.19999999999999</v>
      </c>
      <c r="T125" s="25"/>
      <c r="U125" s="25">
        <v>136.30000000000001</v>
      </c>
      <c r="V125" s="25">
        <v>131.6</v>
      </c>
      <c r="W125" s="25">
        <v>135.6</v>
      </c>
      <c r="X125" s="25"/>
      <c r="Y125" s="25" t="s">
        <v>32</v>
      </c>
      <c r="Z125" s="25">
        <v>128</v>
      </c>
      <c r="AA125" s="25"/>
      <c r="AB125" s="25">
        <v>129.30000000000001</v>
      </c>
      <c r="AC125" s="25"/>
      <c r="AD125" s="25">
        <v>126.2</v>
      </c>
      <c r="AE125" s="25"/>
      <c r="AF125" s="25">
        <v>116.3</v>
      </c>
      <c r="AG125" s="25"/>
      <c r="AH125" s="25">
        <v>124.1</v>
      </c>
      <c r="AI125" s="25"/>
      <c r="AJ125" s="25">
        <v>130.19999999999999</v>
      </c>
      <c r="AK125" s="25"/>
      <c r="AL125" s="25">
        <v>119.9</v>
      </c>
      <c r="AM125" s="25"/>
      <c r="AN125" s="25">
        <v>123.3</v>
      </c>
      <c r="AO125" s="25"/>
      <c r="AP125" s="25">
        <v>131.9</v>
      </c>
    </row>
    <row r="126" spans="1:42" hidden="1" x14ac:dyDescent="0.3">
      <c r="A126" s="25" t="s">
        <v>33</v>
      </c>
      <c r="B126" s="25">
        <v>2016</v>
      </c>
      <c r="C126" s="25" t="s">
        <v>39</v>
      </c>
      <c r="D126" s="26">
        <f>DATE(B126,MATCH(TRIM(C126),{"January","February","March","April","May","June","July","August","September","October","November","December"},0),1)</f>
        <v>42522</v>
      </c>
      <c r="E126" s="25">
        <v>125.9</v>
      </c>
      <c r="F126" s="25">
        <v>143.9</v>
      </c>
      <c r="G126" s="25">
        <v>130.9</v>
      </c>
      <c r="H126" s="25">
        <v>131</v>
      </c>
      <c r="I126" s="25">
        <v>110.2</v>
      </c>
      <c r="J126" s="25">
        <v>135.5</v>
      </c>
      <c r="K126" s="25">
        <v>173.7</v>
      </c>
      <c r="L126" s="25">
        <v>184.4</v>
      </c>
      <c r="M126" s="25">
        <v>112</v>
      </c>
      <c r="N126" s="25">
        <v>142.80000000000001</v>
      </c>
      <c r="O126" s="25">
        <v>121.6</v>
      </c>
      <c r="P126" s="25">
        <v>136.9</v>
      </c>
      <c r="Q126" s="25">
        <v>138.19999999999999</v>
      </c>
      <c r="R126" s="25"/>
      <c r="S126" s="25">
        <v>142.69999999999999</v>
      </c>
      <c r="T126" s="25"/>
      <c r="U126" s="25">
        <v>127.6</v>
      </c>
      <c r="V126" s="25">
        <v>121.1</v>
      </c>
      <c r="W126" s="25">
        <v>126.6</v>
      </c>
      <c r="X126" s="25"/>
      <c r="Y126" s="25">
        <v>125.5</v>
      </c>
      <c r="Z126" s="25">
        <v>115.5</v>
      </c>
      <c r="AA126" s="25"/>
      <c r="AB126" s="25">
        <v>123.2</v>
      </c>
      <c r="AC126" s="25"/>
      <c r="AD126" s="25">
        <v>120.6</v>
      </c>
      <c r="AE126" s="25"/>
      <c r="AF126" s="25">
        <v>112.3</v>
      </c>
      <c r="AG126" s="25"/>
      <c r="AH126" s="25">
        <v>119.9</v>
      </c>
      <c r="AI126" s="25"/>
      <c r="AJ126" s="25">
        <v>129.30000000000001</v>
      </c>
      <c r="AK126" s="25"/>
      <c r="AL126" s="25">
        <v>118.8</v>
      </c>
      <c r="AM126" s="25"/>
      <c r="AN126" s="25">
        <v>119.6</v>
      </c>
      <c r="AO126" s="25"/>
      <c r="AP126" s="25">
        <v>128.1</v>
      </c>
    </row>
    <row r="127" spans="1:42" hidden="1" x14ac:dyDescent="0.3">
      <c r="A127" s="25" t="s">
        <v>34</v>
      </c>
      <c r="B127" s="25">
        <v>2016</v>
      </c>
      <c r="C127" s="25" t="s">
        <v>39</v>
      </c>
      <c r="D127" s="26">
        <f>DATE(B127,MATCH(TRIM(C127),{"January","February","March","April","May","June","July","August","September","October","November","December"},0),1)</f>
        <v>42522</v>
      </c>
      <c r="E127" s="25">
        <v>127.7</v>
      </c>
      <c r="F127" s="25">
        <v>140.5</v>
      </c>
      <c r="G127" s="25">
        <v>128.30000000000001</v>
      </c>
      <c r="H127" s="25">
        <v>132.6</v>
      </c>
      <c r="I127" s="25">
        <v>115.5</v>
      </c>
      <c r="J127" s="25">
        <v>136.5</v>
      </c>
      <c r="K127" s="25">
        <v>159.69999999999999</v>
      </c>
      <c r="L127" s="25">
        <v>174.3</v>
      </c>
      <c r="M127" s="25">
        <v>109.9</v>
      </c>
      <c r="N127" s="25">
        <v>136.30000000000001</v>
      </c>
      <c r="O127" s="25">
        <v>124.4</v>
      </c>
      <c r="P127" s="25">
        <v>138.1</v>
      </c>
      <c r="Q127" s="25">
        <v>136.80000000000001</v>
      </c>
      <c r="R127" s="25"/>
      <c r="S127" s="25">
        <v>138.69999999999999</v>
      </c>
      <c r="T127" s="25"/>
      <c r="U127" s="25">
        <v>132.9</v>
      </c>
      <c r="V127" s="25">
        <v>127.2</v>
      </c>
      <c r="W127" s="25">
        <v>132</v>
      </c>
      <c r="X127" s="25"/>
      <c r="Y127" s="25">
        <v>125.5</v>
      </c>
      <c r="Z127" s="25">
        <v>123.3</v>
      </c>
      <c r="AA127" s="25"/>
      <c r="AB127" s="25">
        <v>126.4</v>
      </c>
      <c r="AC127" s="25"/>
      <c r="AD127" s="25">
        <v>124.1</v>
      </c>
      <c r="AE127" s="25"/>
      <c r="AF127" s="25">
        <v>114.2</v>
      </c>
      <c r="AG127" s="25"/>
      <c r="AH127" s="25">
        <v>121.7</v>
      </c>
      <c r="AI127" s="25"/>
      <c r="AJ127" s="25">
        <v>129.69999999999999</v>
      </c>
      <c r="AK127" s="25"/>
      <c r="AL127" s="25">
        <v>119.4</v>
      </c>
      <c r="AM127" s="25"/>
      <c r="AN127" s="25">
        <v>121.5</v>
      </c>
      <c r="AO127" s="25"/>
      <c r="AP127" s="25">
        <v>130.1</v>
      </c>
    </row>
    <row r="128" spans="1:42" hidden="1" x14ac:dyDescent="0.3">
      <c r="A128" s="25" t="s">
        <v>30</v>
      </c>
      <c r="B128" s="25">
        <v>2016</v>
      </c>
      <c r="C128" s="25" t="s">
        <v>40</v>
      </c>
      <c r="D128" s="26">
        <f>DATE(B128,MATCH(TRIM(C128),{"January","February","March","April","May","June","July","August","September","October","November","December"},0),1)</f>
        <v>42552</v>
      </c>
      <c r="E128" s="25">
        <v>129.30000000000001</v>
      </c>
      <c r="F128" s="25">
        <v>139.5</v>
      </c>
      <c r="G128" s="25">
        <v>129.6</v>
      </c>
      <c r="H128" s="25">
        <v>134.5</v>
      </c>
      <c r="I128" s="25">
        <v>119.5</v>
      </c>
      <c r="J128" s="25">
        <v>138.5</v>
      </c>
      <c r="K128" s="25">
        <v>158.19999999999999</v>
      </c>
      <c r="L128" s="25">
        <v>171.8</v>
      </c>
      <c r="M128" s="25">
        <v>110.3</v>
      </c>
      <c r="N128" s="25">
        <v>134.30000000000001</v>
      </c>
      <c r="O128" s="25">
        <v>127.3</v>
      </c>
      <c r="P128" s="25">
        <v>139.9</v>
      </c>
      <c r="Q128" s="25">
        <v>137.6</v>
      </c>
      <c r="R128" s="25"/>
      <c r="S128" s="25">
        <v>138</v>
      </c>
      <c r="T128" s="25"/>
      <c r="U128" s="25">
        <v>137.19999999999999</v>
      </c>
      <c r="V128" s="25">
        <v>132.19999999999999</v>
      </c>
      <c r="W128" s="25">
        <v>136.5</v>
      </c>
      <c r="X128" s="25"/>
      <c r="Y128" s="25" t="s">
        <v>32</v>
      </c>
      <c r="Z128" s="25">
        <v>128.19999999999999</v>
      </c>
      <c r="AA128" s="25"/>
      <c r="AB128" s="25">
        <v>130</v>
      </c>
      <c r="AC128" s="25"/>
      <c r="AD128" s="25">
        <v>126.7</v>
      </c>
      <c r="AE128" s="25"/>
      <c r="AF128" s="25">
        <v>116.4</v>
      </c>
      <c r="AG128" s="25"/>
      <c r="AH128" s="25">
        <v>125.2</v>
      </c>
      <c r="AI128" s="25"/>
      <c r="AJ128" s="25">
        <v>130.80000000000001</v>
      </c>
      <c r="AK128" s="25"/>
      <c r="AL128" s="25">
        <v>120.9</v>
      </c>
      <c r="AM128" s="25"/>
      <c r="AN128" s="25">
        <v>123.8</v>
      </c>
      <c r="AO128" s="25"/>
      <c r="AP128" s="25">
        <v>133</v>
      </c>
    </row>
    <row r="129" spans="1:42" hidden="1" x14ac:dyDescent="0.3">
      <c r="A129" s="25" t="s">
        <v>33</v>
      </c>
      <c r="B129" s="25">
        <v>2016</v>
      </c>
      <c r="C129" s="25" t="s">
        <v>40</v>
      </c>
      <c r="D129" s="26">
        <f>DATE(B129,MATCH(TRIM(C129),{"January","February","March","April","May","June","July","August","September","October","November","December"},0),1)</f>
        <v>42552</v>
      </c>
      <c r="E129" s="25">
        <v>126.8</v>
      </c>
      <c r="F129" s="25">
        <v>144.19999999999999</v>
      </c>
      <c r="G129" s="25">
        <v>136.6</v>
      </c>
      <c r="H129" s="25">
        <v>131.80000000000001</v>
      </c>
      <c r="I129" s="25">
        <v>111</v>
      </c>
      <c r="J129" s="25">
        <v>137</v>
      </c>
      <c r="K129" s="25">
        <v>179.5</v>
      </c>
      <c r="L129" s="25">
        <v>188.4</v>
      </c>
      <c r="M129" s="25">
        <v>113.3</v>
      </c>
      <c r="N129" s="25">
        <v>143.9</v>
      </c>
      <c r="O129" s="25">
        <v>121.7</v>
      </c>
      <c r="P129" s="25">
        <v>137.5</v>
      </c>
      <c r="Q129" s="25">
        <v>139.80000000000001</v>
      </c>
      <c r="R129" s="25"/>
      <c r="S129" s="25">
        <v>142.9</v>
      </c>
      <c r="T129" s="25"/>
      <c r="U129" s="25">
        <v>127.9</v>
      </c>
      <c r="V129" s="25">
        <v>121.1</v>
      </c>
      <c r="W129" s="25">
        <v>126.9</v>
      </c>
      <c r="X129" s="25"/>
      <c r="Y129" s="25">
        <v>126.4</v>
      </c>
      <c r="Z129" s="25">
        <v>115.5</v>
      </c>
      <c r="AA129" s="25"/>
      <c r="AB129" s="25">
        <v>123.5</v>
      </c>
      <c r="AC129" s="25"/>
      <c r="AD129" s="25">
        <v>120.9</v>
      </c>
      <c r="AE129" s="25"/>
      <c r="AF129" s="25">
        <v>111.7</v>
      </c>
      <c r="AG129" s="25"/>
      <c r="AH129" s="25">
        <v>120.3</v>
      </c>
      <c r="AI129" s="25"/>
      <c r="AJ129" s="25">
        <v>130.80000000000001</v>
      </c>
      <c r="AK129" s="25"/>
      <c r="AL129" s="25">
        <v>120</v>
      </c>
      <c r="AM129" s="25"/>
      <c r="AN129" s="25">
        <v>119.9</v>
      </c>
      <c r="AO129" s="25"/>
      <c r="AP129" s="25">
        <v>129</v>
      </c>
    </row>
    <row r="130" spans="1:42" hidden="1" x14ac:dyDescent="0.3">
      <c r="A130" s="25" t="s">
        <v>34</v>
      </c>
      <c r="B130" s="25">
        <v>2016</v>
      </c>
      <c r="C130" s="25" t="s">
        <v>40</v>
      </c>
      <c r="D130" s="26">
        <f>DATE(B130,MATCH(TRIM(C130),{"January","February","March","April","May","June","July","August","September","October","November","December"},0),1)</f>
        <v>42552</v>
      </c>
      <c r="E130" s="25">
        <v>128.5</v>
      </c>
      <c r="F130" s="25">
        <v>141.19999999999999</v>
      </c>
      <c r="G130" s="25">
        <v>132.30000000000001</v>
      </c>
      <c r="H130" s="25">
        <v>133.5</v>
      </c>
      <c r="I130" s="25">
        <v>116.4</v>
      </c>
      <c r="J130" s="25">
        <v>137.80000000000001</v>
      </c>
      <c r="K130" s="25">
        <v>165.4</v>
      </c>
      <c r="L130" s="25">
        <v>177.4</v>
      </c>
      <c r="M130" s="25">
        <v>111.3</v>
      </c>
      <c r="N130" s="25">
        <v>137.5</v>
      </c>
      <c r="O130" s="25">
        <v>125</v>
      </c>
      <c r="P130" s="25">
        <v>138.80000000000001</v>
      </c>
      <c r="Q130" s="25">
        <v>138.4</v>
      </c>
      <c r="R130" s="25"/>
      <c r="S130" s="25">
        <v>139.30000000000001</v>
      </c>
      <c r="T130" s="25"/>
      <c r="U130" s="25">
        <v>133.5</v>
      </c>
      <c r="V130" s="25">
        <v>127.6</v>
      </c>
      <c r="W130" s="25">
        <v>132.69999999999999</v>
      </c>
      <c r="X130" s="25"/>
      <c r="Y130" s="25">
        <v>126.4</v>
      </c>
      <c r="Z130" s="25">
        <v>123.4</v>
      </c>
      <c r="AA130" s="25"/>
      <c r="AB130" s="25">
        <v>126.9</v>
      </c>
      <c r="AC130" s="25"/>
      <c r="AD130" s="25">
        <v>124.5</v>
      </c>
      <c r="AE130" s="25"/>
      <c r="AF130" s="25">
        <v>113.9</v>
      </c>
      <c r="AG130" s="25"/>
      <c r="AH130" s="25">
        <v>122.4</v>
      </c>
      <c r="AI130" s="25"/>
      <c r="AJ130" s="25">
        <v>130.80000000000001</v>
      </c>
      <c r="AK130" s="25"/>
      <c r="AL130" s="25">
        <v>120.5</v>
      </c>
      <c r="AM130" s="25"/>
      <c r="AN130" s="25">
        <v>121.9</v>
      </c>
      <c r="AO130" s="25"/>
      <c r="AP130" s="25">
        <v>131.1</v>
      </c>
    </row>
    <row r="131" spans="1:42" hidden="1" x14ac:dyDescent="0.3">
      <c r="A131" s="25" t="s">
        <v>30</v>
      </c>
      <c r="B131" s="25">
        <v>2016</v>
      </c>
      <c r="C131" s="25" t="s">
        <v>41</v>
      </c>
      <c r="D131" s="26">
        <f>DATE(B131,MATCH(TRIM(C131),{"January","February","March","April","May","June","July","August","September","October","November","December"},0),1)</f>
        <v>42583</v>
      </c>
      <c r="E131" s="25">
        <v>130.1</v>
      </c>
      <c r="F131" s="25">
        <v>138.80000000000001</v>
      </c>
      <c r="G131" s="25">
        <v>130.30000000000001</v>
      </c>
      <c r="H131" s="25">
        <v>135.30000000000001</v>
      </c>
      <c r="I131" s="25">
        <v>119.9</v>
      </c>
      <c r="J131" s="25">
        <v>140.19999999999999</v>
      </c>
      <c r="K131" s="25">
        <v>156.9</v>
      </c>
      <c r="L131" s="25">
        <v>172.2</v>
      </c>
      <c r="M131" s="25">
        <v>112.1</v>
      </c>
      <c r="N131" s="25">
        <v>134.9</v>
      </c>
      <c r="O131" s="25">
        <v>128.1</v>
      </c>
      <c r="P131" s="25">
        <v>140.69999999999999</v>
      </c>
      <c r="Q131" s="25">
        <v>138</v>
      </c>
      <c r="R131" s="25"/>
      <c r="S131" s="25">
        <v>138.9</v>
      </c>
      <c r="T131" s="25"/>
      <c r="U131" s="25">
        <v>137.80000000000001</v>
      </c>
      <c r="V131" s="25">
        <v>133</v>
      </c>
      <c r="W131" s="25">
        <v>137.1</v>
      </c>
      <c r="X131" s="25"/>
      <c r="Y131" s="25" t="s">
        <v>32</v>
      </c>
      <c r="Z131" s="25">
        <v>129.1</v>
      </c>
      <c r="AA131" s="25"/>
      <c r="AB131" s="25">
        <v>130.6</v>
      </c>
      <c r="AC131" s="25"/>
      <c r="AD131" s="25">
        <v>127</v>
      </c>
      <c r="AE131" s="25"/>
      <c r="AF131" s="25">
        <v>116</v>
      </c>
      <c r="AG131" s="25"/>
      <c r="AH131" s="25">
        <v>125.5</v>
      </c>
      <c r="AI131" s="25"/>
      <c r="AJ131" s="25">
        <v>131.9</v>
      </c>
      <c r="AK131" s="25"/>
      <c r="AL131" s="25">
        <v>122</v>
      </c>
      <c r="AM131" s="25"/>
      <c r="AN131" s="25">
        <v>124.2</v>
      </c>
      <c r="AO131" s="25"/>
      <c r="AP131" s="25">
        <v>133.5</v>
      </c>
    </row>
    <row r="132" spans="1:42" hidden="1" x14ac:dyDescent="0.3">
      <c r="A132" s="25" t="s">
        <v>33</v>
      </c>
      <c r="B132" s="25">
        <v>2016</v>
      </c>
      <c r="C132" s="25" t="s">
        <v>41</v>
      </c>
      <c r="D132" s="26">
        <f>DATE(B132,MATCH(TRIM(C132),{"January","February","March","April","May","June","July","August","September","October","November","December"},0),1)</f>
        <v>42583</v>
      </c>
      <c r="E132" s="25">
        <v>127.6</v>
      </c>
      <c r="F132" s="25">
        <v>140.30000000000001</v>
      </c>
      <c r="G132" s="25">
        <v>133.69999999999999</v>
      </c>
      <c r="H132" s="25">
        <v>132.19999999999999</v>
      </c>
      <c r="I132" s="25">
        <v>111.8</v>
      </c>
      <c r="J132" s="25">
        <v>135.80000000000001</v>
      </c>
      <c r="K132" s="25">
        <v>163.5</v>
      </c>
      <c r="L132" s="25">
        <v>182.3</v>
      </c>
      <c r="M132" s="25">
        <v>114.6</v>
      </c>
      <c r="N132" s="25">
        <v>144.6</v>
      </c>
      <c r="O132" s="25">
        <v>121.9</v>
      </c>
      <c r="P132" s="25">
        <v>138.1</v>
      </c>
      <c r="Q132" s="25">
        <v>137.6</v>
      </c>
      <c r="R132" s="25"/>
      <c r="S132" s="25">
        <v>143.6</v>
      </c>
      <c r="T132" s="25"/>
      <c r="U132" s="25">
        <v>128.30000000000001</v>
      </c>
      <c r="V132" s="25">
        <v>121.4</v>
      </c>
      <c r="W132" s="25">
        <v>127.3</v>
      </c>
      <c r="X132" s="25"/>
      <c r="Y132" s="25">
        <v>127.3</v>
      </c>
      <c r="Z132" s="25">
        <v>114.7</v>
      </c>
      <c r="AA132" s="25"/>
      <c r="AB132" s="25">
        <v>123.9</v>
      </c>
      <c r="AC132" s="25"/>
      <c r="AD132" s="25">
        <v>121.2</v>
      </c>
      <c r="AE132" s="25"/>
      <c r="AF132" s="25">
        <v>110.4</v>
      </c>
      <c r="AG132" s="25"/>
      <c r="AH132" s="25">
        <v>120.6</v>
      </c>
      <c r="AI132" s="25"/>
      <c r="AJ132" s="25">
        <v>131.5</v>
      </c>
      <c r="AK132" s="25"/>
      <c r="AL132" s="25">
        <v>120.9</v>
      </c>
      <c r="AM132" s="25"/>
      <c r="AN132" s="25">
        <v>119.9</v>
      </c>
      <c r="AO132" s="25"/>
      <c r="AP132" s="25">
        <v>128.4</v>
      </c>
    </row>
    <row r="133" spans="1:42" hidden="1" x14ac:dyDescent="0.3">
      <c r="A133" s="25" t="s">
        <v>34</v>
      </c>
      <c r="B133" s="25">
        <v>2016</v>
      </c>
      <c r="C133" s="25" t="s">
        <v>41</v>
      </c>
      <c r="D133" s="26">
        <f>DATE(B133,MATCH(TRIM(C133),{"January","February","March","April","May","June","July","August","September","October","November","December"},0),1)</f>
        <v>42583</v>
      </c>
      <c r="E133" s="25">
        <v>129.30000000000001</v>
      </c>
      <c r="F133" s="25">
        <v>139.30000000000001</v>
      </c>
      <c r="G133" s="25">
        <v>131.6</v>
      </c>
      <c r="H133" s="25">
        <v>134.1</v>
      </c>
      <c r="I133" s="25">
        <v>116.9</v>
      </c>
      <c r="J133" s="25">
        <v>138.1</v>
      </c>
      <c r="K133" s="25">
        <v>159.1</v>
      </c>
      <c r="L133" s="25">
        <v>175.6</v>
      </c>
      <c r="M133" s="25">
        <v>112.9</v>
      </c>
      <c r="N133" s="25">
        <v>138.1</v>
      </c>
      <c r="O133" s="25">
        <v>125.5</v>
      </c>
      <c r="P133" s="25">
        <v>139.5</v>
      </c>
      <c r="Q133" s="25">
        <v>137.9</v>
      </c>
      <c r="R133" s="25"/>
      <c r="S133" s="25">
        <v>140.19999999999999</v>
      </c>
      <c r="T133" s="25"/>
      <c r="U133" s="25">
        <v>134.1</v>
      </c>
      <c r="V133" s="25">
        <v>128.19999999999999</v>
      </c>
      <c r="W133" s="25">
        <v>133.19999999999999</v>
      </c>
      <c r="X133" s="25"/>
      <c r="Y133" s="25">
        <v>127.3</v>
      </c>
      <c r="Z133" s="25">
        <v>123.6</v>
      </c>
      <c r="AA133" s="25"/>
      <c r="AB133" s="25">
        <v>127.4</v>
      </c>
      <c r="AC133" s="25"/>
      <c r="AD133" s="25">
        <v>124.8</v>
      </c>
      <c r="AE133" s="25"/>
      <c r="AF133" s="25">
        <v>113.1</v>
      </c>
      <c r="AG133" s="25"/>
      <c r="AH133" s="25">
        <v>122.7</v>
      </c>
      <c r="AI133" s="25"/>
      <c r="AJ133" s="25">
        <v>131.69999999999999</v>
      </c>
      <c r="AK133" s="25"/>
      <c r="AL133" s="25">
        <v>121.5</v>
      </c>
      <c r="AM133" s="25"/>
      <c r="AN133" s="25">
        <v>122.1</v>
      </c>
      <c r="AO133" s="25"/>
      <c r="AP133" s="25">
        <v>131.1</v>
      </c>
    </row>
    <row r="134" spans="1:42" hidden="1" x14ac:dyDescent="0.3">
      <c r="A134" s="25" t="s">
        <v>30</v>
      </c>
      <c r="B134" s="25">
        <v>2016</v>
      </c>
      <c r="C134" s="25" t="s">
        <v>42</v>
      </c>
      <c r="D134" s="26">
        <f>DATE(B134,MATCH(TRIM(C134),{"January","February","March","April","May","June","July","August","September","October","November","December"},0),1)</f>
        <v>42614</v>
      </c>
      <c r="E134" s="25">
        <v>130.80000000000001</v>
      </c>
      <c r="F134" s="25">
        <v>138.19999999999999</v>
      </c>
      <c r="G134" s="25">
        <v>130.5</v>
      </c>
      <c r="H134" s="25">
        <v>135.5</v>
      </c>
      <c r="I134" s="25">
        <v>120.2</v>
      </c>
      <c r="J134" s="25">
        <v>139.19999999999999</v>
      </c>
      <c r="K134" s="25">
        <v>149.5</v>
      </c>
      <c r="L134" s="25">
        <v>170.4</v>
      </c>
      <c r="M134" s="25">
        <v>113.1</v>
      </c>
      <c r="N134" s="25">
        <v>135.80000000000001</v>
      </c>
      <c r="O134" s="25">
        <v>128.80000000000001</v>
      </c>
      <c r="P134" s="25">
        <v>141.5</v>
      </c>
      <c r="Q134" s="25">
        <v>137.19999999999999</v>
      </c>
      <c r="R134" s="25"/>
      <c r="S134" s="25">
        <v>139.9</v>
      </c>
      <c r="T134" s="25"/>
      <c r="U134" s="25">
        <v>138.5</v>
      </c>
      <c r="V134" s="25">
        <v>133.5</v>
      </c>
      <c r="W134" s="25">
        <v>137.80000000000001</v>
      </c>
      <c r="X134" s="25"/>
      <c r="Y134" s="25" t="s">
        <v>32</v>
      </c>
      <c r="Z134" s="25">
        <v>129.69999999999999</v>
      </c>
      <c r="AA134" s="25"/>
      <c r="AB134" s="25">
        <v>131.1</v>
      </c>
      <c r="AC134" s="25"/>
      <c r="AD134" s="25">
        <v>127.8</v>
      </c>
      <c r="AE134" s="25"/>
      <c r="AF134" s="25">
        <v>117</v>
      </c>
      <c r="AG134" s="25"/>
      <c r="AH134" s="25">
        <v>125.7</v>
      </c>
      <c r="AI134" s="25"/>
      <c r="AJ134" s="25">
        <v>132.19999999999999</v>
      </c>
      <c r="AK134" s="25"/>
      <c r="AL134" s="25">
        <v>122.8</v>
      </c>
      <c r="AM134" s="25"/>
      <c r="AN134" s="25">
        <v>124.9</v>
      </c>
      <c r="AO134" s="25"/>
      <c r="AP134" s="25">
        <v>133.4</v>
      </c>
    </row>
    <row r="135" spans="1:42" hidden="1" x14ac:dyDescent="0.3">
      <c r="A135" s="25" t="s">
        <v>33</v>
      </c>
      <c r="B135" s="25">
        <v>2016</v>
      </c>
      <c r="C135" s="25" t="s">
        <v>42</v>
      </c>
      <c r="D135" s="26">
        <f>DATE(B135,MATCH(TRIM(C135),{"January","February","March","April","May","June","July","August","September","October","November","December"},0),1)</f>
        <v>42614</v>
      </c>
      <c r="E135" s="25">
        <v>128.1</v>
      </c>
      <c r="F135" s="25">
        <v>137.69999999999999</v>
      </c>
      <c r="G135" s="25">
        <v>130.6</v>
      </c>
      <c r="H135" s="25">
        <v>132.6</v>
      </c>
      <c r="I135" s="25">
        <v>111.9</v>
      </c>
      <c r="J135" s="25">
        <v>132.5</v>
      </c>
      <c r="K135" s="25">
        <v>152.9</v>
      </c>
      <c r="L135" s="25">
        <v>173.6</v>
      </c>
      <c r="M135" s="25">
        <v>115.1</v>
      </c>
      <c r="N135" s="25">
        <v>144.80000000000001</v>
      </c>
      <c r="O135" s="25">
        <v>122.1</v>
      </c>
      <c r="P135" s="25">
        <v>138.80000000000001</v>
      </c>
      <c r="Q135" s="25">
        <v>135.69999999999999</v>
      </c>
      <c r="R135" s="25"/>
      <c r="S135" s="25">
        <v>143.9</v>
      </c>
      <c r="T135" s="25"/>
      <c r="U135" s="25">
        <v>128.69999999999999</v>
      </c>
      <c r="V135" s="25">
        <v>121.6</v>
      </c>
      <c r="W135" s="25">
        <v>127.7</v>
      </c>
      <c r="X135" s="25"/>
      <c r="Y135" s="25">
        <v>127.9</v>
      </c>
      <c r="Z135" s="25">
        <v>114.8</v>
      </c>
      <c r="AA135" s="25"/>
      <c r="AB135" s="25">
        <v>124.3</v>
      </c>
      <c r="AC135" s="25"/>
      <c r="AD135" s="25">
        <v>121.4</v>
      </c>
      <c r="AE135" s="25"/>
      <c r="AF135" s="25">
        <v>111.8</v>
      </c>
      <c r="AG135" s="25"/>
      <c r="AH135" s="25">
        <v>120.8</v>
      </c>
      <c r="AI135" s="25"/>
      <c r="AJ135" s="25">
        <v>131.6</v>
      </c>
      <c r="AK135" s="25"/>
      <c r="AL135" s="25">
        <v>121.2</v>
      </c>
      <c r="AM135" s="25"/>
      <c r="AN135" s="25">
        <v>120.5</v>
      </c>
      <c r="AO135" s="25"/>
      <c r="AP135" s="25">
        <v>128</v>
      </c>
    </row>
    <row r="136" spans="1:42" hidden="1" x14ac:dyDescent="0.3">
      <c r="A136" s="25" t="s">
        <v>34</v>
      </c>
      <c r="B136" s="25">
        <v>2016</v>
      </c>
      <c r="C136" s="25" t="s">
        <v>42</v>
      </c>
      <c r="D136" s="26">
        <f>DATE(B136,MATCH(TRIM(C136),{"January","February","March","April","May","June","July","August","September","October","November","December"},0),1)</f>
        <v>42614</v>
      </c>
      <c r="E136" s="25">
        <v>129.9</v>
      </c>
      <c r="F136" s="25">
        <v>138</v>
      </c>
      <c r="G136" s="25">
        <v>130.5</v>
      </c>
      <c r="H136" s="25">
        <v>134.4</v>
      </c>
      <c r="I136" s="25">
        <v>117.2</v>
      </c>
      <c r="J136" s="25">
        <v>136.1</v>
      </c>
      <c r="K136" s="25">
        <v>150.69999999999999</v>
      </c>
      <c r="L136" s="25">
        <v>171.5</v>
      </c>
      <c r="M136" s="25">
        <v>113.8</v>
      </c>
      <c r="N136" s="25">
        <v>138.80000000000001</v>
      </c>
      <c r="O136" s="25">
        <v>126</v>
      </c>
      <c r="P136" s="25">
        <v>140.19999999999999</v>
      </c>
      <c r="Q136" s="25">
        <v>136.6</v>
      </c>
      <c r="R136" s="25"/>
      <c r="S136" s="25">
        <v>141</v>
      </c>
      <c r="T136" s="25"/>
      <c r="U136" s="25">
        <v>134.6</v>
      </c>
      <c r="V136" s="25">
        <v>128.6</v>
      </c>
      <c r="W136" s="25">
        <v>133.80000000000001</v>
      </c>
      <c r="X136" s="25"/>
      <c r="Y136" s="25">
        <v>127.9</v>
      </c>
      <c r="Z136" s="25">
        <v>124.1</v>
      </c>
      <c r="AA136" s="25"/>
      <c r="AB136" s="25">
        <v>127.9</v>
      </c>
      <c r="AC136" s="25"/>
      <c r="AD136" s="25">
        <v>125.4</v>
      </c>
      <c r="AE136" s="25"/>
      <c r="AF136" s="25">
        <v>114.3</v>
      </c>
      <c r="AG136" s="25"/>
      <c r="AH136" s="25">
        <v>122.9</v>
      </c>
      <c r="AI136" s="25"/>
      <c r="AJ136" s="25">
        <v>131.80000000000001</v>
      </c>
      <c r="AK136" s="25"/>
      <c r="AL136" s="25">
        <v>122.1</v>
      </c>
      <c r="AM136" s="25"/>
      <c r="AN136" s="25">
        <v>122.8</v>
      </c>
      <c r="AO136" s="25"/>
      <c r="AP136" s="25">
        <v>130.9</v>
      </c>
    </row>
    <row r="137" spans="1:42" hidden="1" x14ac:dyDescent="0.3">
      <c r="A137" s="25" t="s">
        <v>30</v>
      </c>
      <c r="B137" s="25">
        <v>2016</v>
      </c>
      <c r="C137" s="25" t="s">
        <v>43</v>
      </c>
      <c r="D137" s="26">
        <f>DATE(B137,MATCH(TRIM(C137),{"January","February","March","April","May","June","July","August","September","October","November","December"},0),1)</f>
        <v>42644</v>
      </c>
      <c r="E137" s="25">
        <v>131.30000000000001</v>
      </c>
      <c r="F137" s="25">
        <v>137.6</v>
      </c>
      <c r="G137" s="25">
        <v>130.1</v>
      </c>
      <c r="H137" s="25">
        <v>136</v>
      </c>
      <c r="I137" s="25">
        <v>120.8</v>
      </c>
      <c r="J137" s="25">
        <v>138.4</v>
      </c>
      <c r="K137" s="25">
        <v>149.19999999999999</v>
      </c>
      <c r="L137" s="25">
        <v>170.2</v>
      </c>
      <c r="M137" s="25">
        <v>113.4</v>
      </c>
      <c r="N137" s="25">
        <v>136.30000000000001</v>
      </c>
      <c r="O137" s="25">
        <v>128.69999999999999</v>
      </c>
      <c r="P137" s="25">
        <v>142.4</v>
      </c>
      <c r="Q137" s="25">
        <v>137.4</v>
      </c>
      <c r="R137" s="25"/>
      <c r="S137" s="25">
        <v>140.9</v>
      </c>
      <c r="T137" s="25"/>
      <c r="U137" s="25">
        <v>139.6</v>
      </c>
      <c r="V137" s="25">
        <v>134.30000000000001</v>
      </c>
      <c r="W137" s="25">
        <v>138.80000000000001</v>
      </c>
      <c r="X137" s="25"/>
      <c r="Y137" s="25" t="s">
        <v>32</v>
      </c>
      <c r="Z137" s="25">
        <v>129.80000000000001</v>
      </c>
      <c r="AA137" s="25"/>
      <c r="AB137" s="25">
        <v>131.80000000000001</v>
      </c>
      <c r="AC137" s="25"/>
      <c r="AD137" s="25">
        <v>128.69999999999999</v>
      </c>
      <c r="AE137" s="25"/>
      <c r="AF137" s="25">
        <v>117.8</v>
      </c>
      <c r="AG137" s="25"/>
      <c r="AH137" s="25">
        <v>126.5</v>
      </c>
      <c r="AI137" s="25"/>
      <c r="AJ137" s="25">
        <v>133</v>
      </c>
      <c r="AK137" s="25"/>
      <c r="AL137" s="25">
        <v>123</v>
      </c>
      <c r="AM137" s="25"/>
      <c r="AN137" s="25">
        <v>125.7</v>
      </c>
      <c r="AO137" s="25"/>
      <c r="AP137" s="25">
        <v>133.80000000000001</v>
      </c>
    </row>
    <row r="138" spans="1:42" hidden="1" x14ac:dyDescent="0.3">
      <c r="A138" s="25" t="s">
        <v>33</v>
      </c>
      <c r="B138" s="25">
        <v>2016</v>
      </c>
      <c r="C138" s="25" t="s">
        <v>43</v>
      </c>
      <c r="D138" s="26">
        <f>DATE(B138,MATCH(TRIM(C138),{"January","February","March","April","May","June","July","August","September","October","November","December"},0),1)</f>
        <v>42644</v>
      </c>
      <c r="E138" s="25">
        <v>128.69999999999999</v>
      </c>
      <c r="F138" s="25">
        <v>138.4</v>
      </c>
      <c r="G138" s="25">
        <v>130.30000000000001</v>
      </c>
      <c r="H138" s="25">
        <v>132.69999999999999</v>
      </c>
      <c r="I138" s="25">
        <v>112.5</v>
      </c>
      <c r="J138" s="25">
        <v>130.4</v>
      </c>
      <c r="K138" s="25">
        <v>155.1</v>
      </c>
      <c r="L138" s="25">
        <v>175.7</v>
      </c>
      <c r="M138" s="25">
        <v>115.4</v>
      </c>
      <c r="N138" s="25">
        <v>145.30000000000001</v>
      </c>
      <c r="O138" s="25">
        <v>122.5</v>
      </c>
      <c r="P138" s="25">
        <v>139.6</v>
      </c>
      <c r="Q138" s="25">
        <v>136.30000000000001</v>
      </c>
      <c r="R138" s="25"/>
      <c r="S138" s="25">
        <v>144.30000000000001</v>
      </c>
      <c r="T138" s="25"/>
      <c r="U138" s="25">
        <v>129.1</v>
      </c>
      <c r="V138" s="25">
        <v>121.9</v>
      </c>
      <c r="W138" s="25">
        <v>128</v>
      </c>
      <c r="X138" s="25"/>
      <c r="Y138" s="25">
        <v>128.69999999999999</v>
      </c>
      <c r="Z138" s="25">
        <v>115.2</v>
      </c>
      <c r="AA138" s="25"/>
      <c r="AB138" s="25">
        <v>124.5</v>
      </c>
      <c r="AC138" s="25"/>
      <c r="AD138" s="25">
        <v>121.8</v>
      </c>
      <c r="AE138" s="25"/>
      <c r="AF138" s="25">
        <v>112.8</v>
      </c>
      <c r="AG138" s="25"/>
      <c r="AH138" s="25">
        <v>121.2</v>
      </c>
      <c r="AI138" s="25"/>
      <c r="AJ138" s="25">
        <v>131.9</v>
      </c>
      <c r="AK138" s="25"/>
      <c r="AL138" s="25">
        <v>120.8</v>
      </c>
      <c r="AM138" s="25"/>
      <c r="AN138" s="25">
        <v>120.9</v>
      </c>
      <c r="AO138" s="25"/>
      <c r="AP138" s="25">
        <v>128.6</v>
      </c>
    </row>
    <row r="139" spans="1:42" hidden="1" x14ac:dyDescent="0.3">
      <c r="A139" s="25" t="s">
        <v>34</v>
      </c>
      <c r="B139" s="25">
        <v>2016</v>
      </c>
      <c r="C139" s="25" t="s">
        <v>43</v>
      </c>
      <c r="D139" s="26">
        <f>DATE(B139,MATCH(TRIM(C139),{"January","February","March","April","May","June","July","August","September","October","November","December"},0),1)</f>
        <v>42644</v>
      </c>
      <c r="E139" s="25">
        <v>130.5</v>
      </c>
      <c r="F139" s="25">
        <v>137.9</v>
      </c>
      <c r="G139" s="25">
        <v>130.19999999999999</v>
      </c>
      <c r="H139" s="25">
        <v>134.80000000000001</v>
      </c>
      <c r="I139" s="25">
        <v>117.8</v>
      </c>
      <c r="J139" s="25">
        <v>134.69999999999999</v>
      </c>
      <c r="K139" s="25">
        <v>151.19999999999999</v>
      </c>
      <c r="L139" s="25">
        <v>172.1</v>
      </c>
      <c r="M139" s="25">
        <v>114.1</v>
      </c>
      <c r="N139" s="25">
        <v>139.30000000000001</v>
      </c>
      <c r="O139" s="25">
        <v>126.1</v>
      </c>
      <c r="P139" s="25">
        <v>141.1</v>
      </c>
      <c r="Q139" s="25">
        <v>137</v>
      </c>
      <c r="R139" s="25"/>
      <c r="S139" s="25">
        <v>141.80000000000001</v>
      </c>
      <c r="T139" s="25"/>
      <c r="U139" s="25">
        <v>135.5</v>
      </c>
      <c r="V139" s="25">
        <v>129.1</v>
      </c>
      <c r="W139" s="25">
        <v>134.5</v>
      </c>
      <c r="X139" s="25"/>
      <c r="Y139" s="25">
        <v>128.69999999999999</v>
      </c>
      <c r="Z139" s="25">
        <v>124.3</v>
      </c>
      <c r="AA139" s="25"/>
      <c r="AB139" s="25">
        <v>128.4</v>
      </c>
      <c r="AC139" s="25"/>
      <c r="AD139" s="25">
        <v>126.1</v>
      </c>
      <c r="AE139" s="25"/>
      <c r="AF139" s="25">
        <v>115.2</v>
      </c>
      <c r="AG139" s="25"/>
      <c r="AH139" s="25">
        <v>123.5</v>
      </c>
      <c r="AI139" s="25"/>
      <c r="AJ139" s="25">
        <v>132.4</v>
      </c>
      <c r="AK139" s="25"/>
      <c r="AL139" s="25">
        <v>122.1</v>
      </c>
      <c r="AM139" s="25"/>
      <c r="AN139" s="25">
        <v>123.4</v>
      </c>
      <c r="AO139" s="25"/>
      <c r="AP139" s="25">
        <v>131.4</v>
      </c>
    </row>
    <row r="140" spans="1:42" hidden="1" x14ac:dyDescent="0.3">
      <c r="A140" s="25" t="s">
        <v>30</v>
      </c>
      <c r="B140" s="25">
        <v>2016</v>
      </c>
      <c r="C140" s="25" t="s">
        <v>45</v>
      </c>
      <c r="D140" s="26">
        <f>DATE(B140,MATCH(TRIM(C140),{"January","February","March","April","May","June","July","August","September","October","November","December"},0),1)</f>
        <v>42675</v>
      </c>
      <c r="E140" s="25">
        <v>132</v>
      </c>
      <c r="F140" s="25">
        <v>137.4</v>
      </c>
      <c r="G140" s="25">
        <v>130.6</v>
      </c>
      <c r="H140" s="25">
        <v>136.19999999999999</v>
      </c>
      <c r="I140" s="25">
        <v>121.1</v>
      </c>
      <c r="J140" s="25">
        <v>136.9</v>
      </c>
      <c r="K140" s="25">
        <v>141.80000000000001</v>
      </c>
      <c r="L140" s="25">
        <v>170</v>
      </c>
      <c r="M140" s="25">
        <v>113.4</v>
      </c>
      <c r="N140" s="25">
        <v>136.80000000000001</v>
      </c>
      <c r="O140" s="25">
        <v>128.69999999999999</v>
      </c>
      <c r="P140" s="25">
        <v>143.1</v>
      </c>
      <c r="Q140" s="25">
        <v>136.6</v>
      </c>
      <c r="R140" s="25"/>
      <c r="S140" s="25">
        <v>141.19999999999999</v>
      </c>
      <c r="T140" s="25"/>
      <c r="U140" s="25">
        <v>139.9</v>
      </c>
      <c r="V140" s="25">
        <v>134.5</v>
      </c>
      <c r="W140" s="25">
        <v>139.19999999999999</v>
      </c>
      <c r="X140" s="25"/>
      <c r="Y140" s="25" t="s">
        <v>32</v>
      </c>
      <c r="Z140" s="25">
        <v>130.30000000000001</v>
      </c>
      <c r="AA140" s="25"/>
      <c r="AB140" s="25">
        <v>132.1</v>
      </c>
      <c r="AC140" s="25"/>
      <c r="AD140" s="25">
        <v>129.1</v>
      </c>
      <c r="AE140" s="25"/>
      <c r="AF140" s="25">
        <v>118.2</v>
      </c>
      <c r="AG140" s="25"/>
      <c r="AH140" s="25">
        <v>126.9</v>
      </c>
      <c r="AI140" s="25"/>
      <c r="AJ140" s="25">
        <v>133.69999999999999</v>
      </c>
      <c r="AK140" s="25"/>
      <c r="AL140" s="25">
        <v>123.5</v>
      </c>
      <c r="AM140" s="25"/>
      <c r="AN140" s="25">
        <v>126.1</v>
      </c>
      <c r="AO140" s="25"/>
      <c r="AP140" s="25">
        <v>133.6</v>
      </c>
    </row>
    <row r="141" spans="1:42" hidden="1" x14ac:dyDescent="0.3">
      <c r="A141" s="25" t="s">
        <v>33</v>
      </c>
      <c r="B141" s="25">
        <v>2016</v>
      </c>
      <c r="C141" s="25" t="s">
        <v>45</v>
      </c>
      <c r="D141" s="26">
        <f>DATE(B141,MATCH(TRIM(C141),{"January","February","March","April","May","June","July","August","September","October","November","December"},0),1)</f>
        <v>42675</v>
      </c>
      <c r="E141" s="25">
        <v>130.19999999999999</v>
      </c>
      <c r="F141" s="25">
        <v>138.5</v>
      </c>
      <c r="G141" s="25">
        <v>134.1</v>
      </c>
      <c r="H141" s="25">
        <v>132.9</v>
      </c>
      <c r="I141" s="25">
        <v>112.6</v>
      </c>
      <c r="J141" s="25">
        <v>130.80000000000001</v>
      </c>
      <c r="K141" s="25">
        <v>142</v>
      </c>
      <c r="L141" s="25">
        <v>174.9</v>
      </c>
      <c r="M141" s="25">
        <v>115.6</v>
      </c>
      <c r="N141" s="25">
        <v>145.4</v>
      </c>
      <c r="O141" s="25">
        <v>122.7</v>
      </c>
      <c r="P141" s="25">
        <v>140.30000000000001</v>
      </c>
      <c r="Q141" s="25">
        <v>135.19999999999999</v>
      </c>
      <c r="R141" s="25"/>
      <c r="S141" s="25">
        <v>144.30000000000001</v>
      </c>
      <c r="T141" s="25"/>
      <c r="U141" s="25">
        <v>129.6</v>
      </c>
      <c r="V141" s="25">
        <v>122.1</v>
      </c>
      <c r="W141" s="25">
        <v>128.5</v>
      </c>
      <c r="X141" s="25"/>
      <c r="Y141" s="25">
        <v>129.1</v>
      </c>
      <c r="Z141" s="25">
        <v>116.2</v>
      </c>
      <c r="AA141" s="25"/>
      <c r="AB141" s="25">
        <v>124.7</v>
      </c>
      <c r="AC141" s="25"/>
      <c r="AD141" s="25">
        <v>122.1</v>
      </c>
      <c r="AE141" s="25"/>
      <c r="AF141" s="25">
        <v>113.4</v>
      </c>
      <c r="AG141" s="25"/>
      <c r="AH141" s="25">
        <v>121.7</v>
      </c>
      <c r="AI141" s="25"/>
      <c r="AJ141" s="25">
        <v>132.1</v>
      </c>
      <c r="AK141" s="25"/>
      <c r="AL141" s="25">
        <v>121.3</v>
      </c>
      <c r="AM141" s="25"/>
      <c r="AN141" s="25">
        <v>121.3</v>
      </c>
      <c r="AO141" s="25"/>
      <c r="AP141" s="25">
        <v>128.5</v>
      </c>
    </row>
    <row r="142" spans="1:42" hidden="1" x14ac:dyDescent="0.3">
      <c r="A142" s="25" t="s">
        <v>34</v>
      </c>
      <c r="B142" s="25">
        <v>2016</v>
      </c>
      <c r="C142" s="25" t="s">
        <v>45</v>
      </c>
      <c r="D142" s="26">
        <f>DATE(B142,MATCH(TRIM(C142),{"January","February","March","April","May","June","July","August","September","October","November","December"},0),1)</f>
        <v>42675</v>
      </c>
      <c r="E142" s="25">
        <v>131.4</v>
      </c>
      <c r="F142" s="25">
        <v>137.80000000000001</v>
      </c>
      <c r="G142" s="25">
        <v>132</v>
      </c>
      <c r="H142" s="25">
        <v>135</v>
      </c>
      <c r="I142" s="25">
        <v>118</v>
      </c>
      <c r="J142" s="25">
        <v>134.1</v>
      </c>
      <c r="K142" s="25">
        <v>141.9</v>
      </c>
      <c r="L142" s="25">
        <v>171.7</v>
      </c>
      <c r="M142" s="25">
        <v>114.1</v>
      </c>
      <c r="N142" s="25">
        <v>139.69999999999999</v>
      </c>
      <c r="O142" s="25">
        <v>126.2</v>
      </c>
      <c r="P142" s="25">
        <v>141.80000000000001</v>
      </c>
      <c r="Q142" s="25">
        <v>136.1</v>
      </c>
      <c r="R142" s="25"/>
      <c r="S142" s="25">
        <v>142</v>
      </c>
      <c r="T142" s="25"/>
      <c r="U142" s="25">
        <v>135.80000000000001</v>
      </c>
      <c r="V142" s="25">
        <v>129.30000000000001</v>
      </c>
      <c r="W142" s="25">
        <v>135</v>
      </c>
      <c r="X142" s="25"/>
      <c r="Y142" s="25">
        <v>129.1</v>
      </c>
      <c r="Z142" s="25">
        <v>125</v>
      </c>
      <c r="AA142" s="25"/>
      <c r="AB142" s="25">
        <v>128.6</v>
      </c>
      <c r="AC142" s="25"/>
      <c r="AD142" s="25">
        <v>126.4</v>
      </c>
      <c r="AE142" s="25"/>
      <c r="AF142" s="25">
        <v>115.7</v>
      </c>
      <c r="AG142" s="25"/>
      <c r="AH142" s="25">
        <v>124</v>
      </c>
      <c r="AI142" s="25"/>
      <c r="AJ142" s="25">
        <v>132.80000000000001</v>
      </c>
      <c r="AK142" s="25"/>
      <c r="AL142" s="25">
        <v>122.6</v>
      </c>
      <c r="AM142" s="25"/>
      <c r="AN142" s="25">
        <v>123.8</v>
      </c>
      <c r="AO142" s="25"/>
      <c r="AP142" s="25">
        <v>131.19999999999999</v>
      </c>
    </row>
    <row r="143" spans="1:42" hidden="1" x14ac:dyDescent="0.3">
      <c r="A143" s="25" t="s">
        <v>30</v>
      </c>
      <c r="B143" s="25">
        <v>2016</v>
      </c>
      <c r="C143" s="25" t="s">
        <v>46</v>
      </c>
      <c r="D143" s="26">
        <f>DATE(B143,MATCH(TRIM(C143),{"January","February","March","April","May","June","July","August","September","October","November","December"},0),1)</f>
        <v>42705</v>
      </c>
      <c r="E143" s="25">
        <v>132.6</v>
      </c>
      <c r="F143" s="25">
        <v>137.30000000000001</v>
      </c>
      <c r="G143" s="25">
        <v>131.6</v>
      </c>
      <c r="H143" s="25">
        <v>136.30000000000001</v>
      </c>
      <c r="I143" s="25">
        <v>121.6</v>
      </c>
      <c r="J143" s="25">
        <v>135.6</v>
      </c>
      <c r="K143" s="25">
        <v>127.5</v>
      </c>
      <c r="L143" s="25">
        <v>167.9</v>
      </c>
      <c r="M143" s="25">
        <v>113.8</v>
      </c>
      <c r="N143" s="25">
        <v>137.5</v>
      </c>
      <c r="O143" s="25">
        <v>129.1</v>
      </c>
      <c r="P143" s="25">
        <v>143.6</v>
      </c>
      <c r="Q143" s="25">
        <v>134.69999999999999</v>
      </c>
      <c r="R143" s="25"/>
      <c r="S143" s="25">
        <v>142.4</v>
      </c>
      <c r="T143" s="25"/>
      <c r="U143" s="25">
        <v>140.4</v>
      </c>
      <c r="V143" s="25">
        <v>135.19999999999999</v>
      </c>
      <c r="W143" s="25">
        <v>139.69999999999999</v>
      </c>
      <c r="X143" s="25"/>
      <c r="Y143" s="25" t="s">
        <v>32</v>
      </c>
      <c r="Z143" s="25">
        <v>132</v>
      </c>
      <c r="AA143" s="25"/>
      <c r="AB143" s="25">
        <v>132.9</v>
      </c>
      <c r="AC143" s="25"/>
      <c r="AD143" s="25">
        <v>129.69999999999999</v>
      </c>
      <c r="AE143" s="25"/>
      <c r="AF143" s="25">
        <v>118.6</v>
      </c>
      <c r="AG143" s="25"/>
      <c r="AH143" s="25">
        <v>127.3</v>
      </c>
      <c r="AI143" s="25"/>
      <c r="AJ143" s="25">
        <v>134.19999999999999</v>
      </c>
      <c r="AK143" s="25"/>
      <c r="AL143" s="25">
        <v>121.9</v>
      </c>
      <c r="AM143" s="25"/>
      <c r="AN143" s="25">
        <v>126.3</v>
      </c>
      <c r="AO143" s="25"/>
      <c r="AP143" s="25">
        <v>132.80000000000001</v>
      </c>
    </row>
    <row r="144" spans="1:42" hidden="1" x14ac:dyDescent="0.3">
      <c r="A144" s="25" t="s">
        <v>33</v>
      </c>
      <c r="B144" s="25">
        <v>2016</v>
      </c>
      <c r="C144" s="25" t="s">
        <v>46</v>
      </c>
      <c r="D144" s="26">
        <f>DATE(B144,MATCH(TRIM(C144),{"January","February","March","April","May","June","July","August","September","October","November","December"},0),1)</f>
        <v>42705</v>
      </c>
      <c r="E144" s="25">
        <v>131.6</v>
      </c>
      <c r="F144" s="25">
        <v>138.19999999999999</v>
      </c>
      <c r="G144" s="25">
        <v>134.9</v>
      </c>
      <c r="H144" s="25">
        <v>133.1</v>
      </c>
      <c r="I144" s="25">
        <v>113.5</v>
      </c>
      <c r="J144" s="25">
        <v>129.30000000000001</v>
      </c>
      <c r="K144" s="25">
        <v>121.1</v>
      </c>
      <c r="L144" s="25">
        <v>170.3</v>
      </c>
      <c r="M144" s="25">
        <v>115.5</v>
      </c>
      <c r="N144" s="25">
        <v>145.5</v>
      </c>
      <c r="O144" s="25">
        <v>123.1</v>
      </c>
      <c r="P144" s="25">
        <v>140.9</v>
      </c>
      <c r="Q144" s="25">
        <v>132.80000000000001</v>
      </c>
      <c r="R144" s="25"/>
      <c r="S144" s="25">
        <v>145</v>
      </c>
      <c r="T144" s="25"/>
      <c r="U144" s="25">
        <v>130</v>
      </c>
      <c r="V144" s="25">
        <v>122.2</v>
      </c>
      <c r="W144" s="25">
        <v>128.80000000000001</v>
      </c>
      <c r="X144" s="25"/>
      <c r="Y144" s="25">
        <v>128.5</v>
      </c>
      <c r="Z144" s="25">
        <v>117.8</v>
      </c>
      <c r="AA144" s="25"/>
      <c r="AB144" s="25">
        <v>125</v>
      </c>
      <c r="AC144" s="25"/>
      <c r="AD144" s="25">
        <v>122.3</v>
      </c>
      <c r="AE144" s="25"/>
      <c r="AF144" s="25">
        <v>113.7</v>
      </c>
      <c r="AG144" s="25"/>
      <c r="AH144" s="25">
        <v>121.8</v>
      </c>
      <c r="AI144" s="25"/>
      <c r="AJ144" s="25">
        <v>132.30000000000001</v>
      </c>
      <c r="AK144" s="25"/>
      <c r="AL144" s="25">
        <v>119.9</v>
      </c>
      <c r="AM144" s="25"/>
      <c r="AN144" s="25">
        <v>121.4</v>
      </c>
      <c r="AO144" s="25"/>
      <c r="AP144" s="25">
        <v>127.6</v>
      </c>
    </row>
    <row r="145" spans="1:42" hidden="1" x14ac:dyDescent="0.3">
      <c r="A145" s="25" t="s">
        <v>34</v>
      </c>
      <c r="B145" s="25">
        <v>2016</v>
      </c>
      <c r="C145" s="25" t="s">
        <v>46</v>
      </c>
      <c r="D145" s="26">
        <f>DATE(B145,MATCH(TRIM(C145),{"January","February","March","April","May","June","July","August","September","October","November","December"},0),1)</f>
        <v>42705</v>
      </c>
      <c r="E145" s="25">
        <v>132.30000000000001</v>
      </c>
      <c r="F145" s="25">
        <v>137.6</v>
      </c>
      <c r="G145" s="25">
        <v>132.9</v>
      </c>
      <c r="H145" s="25">
        <v>135.1</v>
      </c>
      <c r="I145" s="25">
        <v>118.6</v>
      </c>
      <c r="J145" s="25">
        <v>132.69999999999999</v>
      </c>
      <c r="K145" s="25">
        <v>125.3</v>
      </c>
      <c r="L145" s="25">
        <v>168.7</v>
      </c>
      <c r="M145" s="25">
        <v>114.4</v>
      </c>
      <c r="N145" s="25">
        <v>140.19999999999999</v>
      </c>
      <c r="O145" s="25">
        <v>126.6</v>
      </c>
      <c r="P145" s="25">
        <v>142.30000000000001</v>
      </c>
      <c r="Q145" s="25">
        <v>134</v>
      </c>
      <c r="R145" s="25"/>
      <c r="S145" s="25">
        <v>143.1</v>
      </c>
      <c r="T145" s="25"/>
      <c r="U145" s="25">
        <v>136.30000000000001</v>
      </c>
      <c r="V145" s="25">
        <v>129.80000000000001</v>
      </c>
      <c r="W145" s="25">
        <v>135.4</v>
      </c>
      <c r="X145" s="25"/>
      <c r="Y145" s="25">
        <v>128.5</v>
      </c>
      <c r="Z145" s="25">
        <v>126.6</v>
      </c>
      <c r="AA145" s="25"/>
      <c r="AB145" s="25">
        <v>129.19999999999999</v>
      </c>
      <c r="AC145" s="25"/>
      <c r="AD145" s="25">
        <v>126.9</v>
      </c>
      <c r="AE145" s="25"/>
      <c r="AF145" s="25">
        <v>116</v>
      </c>
      <c r="AG145" s="25"/>
      <c r="AH145" s="25">
        <v>124.2</v>
      </c>
      <c r="AI145" s="25"/>
      <c r="AJ145" s="25">
        <v>133.1</v>
      </c>
      <c r="AK145" s="25"/>
      <c r="AL145" s="25">
        <v>121.1</v>
      </c>
      <c r="AM145" s="25"/>
      <c r="AN145" s="25">
        <v>123.9</v>
      </c>
      <c r="AO145" s="25"/>
      <c r="AP145" s="25">
        <v>130.4</v>
      </c>
    </row>
    <row r="146" spans="1:42" hidden="1" x14ac:dyDescent="0.3">
      <c r="A146" s="25" t="s">
        <v>30</v>
      </c>
      <c r="B146" s="25">
        <v>2017</v>
      </c>
      <c r="C146" s="25" t="s">
        <v>31</v>
      </c>
      <c r="D146" s="26">
        <f>DATE(B146,MATCH(TRIM(C146),{"January","February","March","April","May","June","July","August","September","October","November","December"},0),1)</f>
        <v>42736</v>
      </c>
      <c r="E146" s="25">
        <v>133.1</v>
      </c>
      <c r="F146" s="25">
        <v>137.80000000000001</v>
      </c>
      <c r="G146" s="25">
        <v>131.9</v>
      </c>
      <c r="H146" s="25">
        <v>136.69999999999999</v>
      </c>
      <c r="I146" s="25">
        <v>122</v>
      </c>
      <c r="J146" s="25">
        <v>136</v>
      </c>
      <c r="K146" s="25">
        <v>119.8</v>
      </c>
      <c r="L146" s="25">
        <v>161.69999999999999</v>
      </c>
      <c r="M146" s="25">
        <v>114.8</v>
      </c>
      <c r="N146" s="25">
        <v>136.9</v>
      </c>
      <c r="O146" s="25">
        <v>129</v>
      </c>
      <c r="P146" s="25">
        <v>143.9</v>
      </c>
      <c r="Q146" s="25">
        <v>133.69999999999999</v>
      </c>
      <c r="R146" s="25"/>
      <c r="S146" s="25">
        <v>143.1</v>
      </c>
      <c r="T146" s="25"/>
      <c r="U146" s="25">
        <v>140.69999999999999</v>
      </c>
      <c r="V146" s="25">
        <v>135.80000000000001</v>
      </c>
      <c r="W146" s="25">
        <v>140</v>
      </c>
      <c r="X146" s="25"/>
      <c r="Y146" s="25" t="s">
        <v>32</v>
      </c>
      <c r="Z146" s="25">
        <v>132.1</v>
      </c>
      <c r="AA146" s="25"/>
      <c r="AB146" s="25">
        <v>133.19999999999999</v>
      </c>
      <c r="AC146" s="25"/>
      <c r="AD146" s="25">
        <v>129.9</v>
      </c>
      <c r="AE146" s="25"/>
      <c r="AF146" s="25">
        <v>119.1</v>
      </c>
      <c r="AG146" s="25"/>
      <c r="AH146" s="25">
        <v>127</v>
      </c>
      <c r="AI146" s="25"/>
      <c r="AJ146" s="25">
        <v>134.6</v>
      </c>
      <c r="AK146" s="25"/>
      <c r="AL146" s="25">
        <v>122.3</v>
      </c>
      <c r="AM146" s="25"/>
      <c r="AN146" s="25">
        <v>126.6</v>
      </c>
      <c r="AO146" s="25"/>
      <c r="AP146" s="25">
        <v>132.4</v>
      </c>
    </row>
    <row r="147" spans="1:42" hidden="1" x14ac:dyDescent="0.3">
      <c r="A147" s="25" t="s">
        <v>33</v>
      </c>
      <c r="B147" s="25">
        <v>2017</v>
      </c>
      <c r="C147" s="25" t="s">
        <v>31</v>
      </c>
      <c r="D147" s="26">
        <f>DATE(B147,MATCH(TRIM(C147),{"January","February","March","April","May","June","July","August","September","October","November","December"},0),1)</f>
        <v>42736</v>
      </c>
      <c r="E147" s="25">
        <v>132.19999999999999</v>
      </c>
      <c r="F147" s="25">
        <v>138.9</v>
      </c>
      <c r="G147" s="25">
        <v>132.6</v>
      </c>
      <c r="H147" s="25">
        <v>133.1</v>
      </c>
      <c r="I147" s="25">
        <v>114</v>
      </c>
      <c r="J147" s="25">
        <v>129.6</v>
      </c>
      <c r="K147" s="25">
        <v>118.7</v>
      </c>
      <c r="L147" s="25">
        <v>155.1</v>
      </c>
      <c r="M147" s="25">
        <v>117.3</v>
      </c>
      <c r="N147" s="25">
        <v>144.9</v>
      </c>
      <c r="O147" s="25">
        <v>123.2</v>
      </c>
      <c r="P147" s="25">
        <v>141.6</v>
      </c>
      <c r="Q147" s="25">
        <v>132</v>
      </c>
      <c r="R147" s="25"/>
      <c r="S147" s="25">
        <v>145.6</v>
      </c>
      <c r="T147" s="25"/>
      <c r="U147" s="25">
        <v>130.19999999999999</v>
      </c>
      <c r="V147" s="25">
        <v>122.3</v>
      </c>
      <c r="W147" s="25">
        <v>129</v>
      </c>
      <c r="X147" s="25"/>
      <c r="Y147" s="25">
        <v>129.6</v>
      </c>
      <c r="Z147" s="25">
        <v>118</v>
      </c>
      <c r="AA147" s="25"/>
      <c r="AB147" s="25">
        <v>125.1</v>
      </c>
      <c r="AC147" s="25"/>
      <c r="AD147" s="25">
        <v>122.6</v>
      </c>
      <c r="AE147" s="25"/>
      <c r="AF147" s="25">
        <v>115.2</v>
      </c>
      <c r="AG147" s="25"/>
      <c r="AH147" s="25">
        <v>122</v>
      </c>
      <c r="AI147" s="25"/>
      <c r="AJ147" s="25">
        <v>132.4</v>
      </c>
      <c r="AK147" s="25"/>
      <c r="AL147" s="25">
        <v>120.9</v>
      </c>
      <c r="AM147" s="25"/>
      <c r="AN147" s="25">
        <v>122.1</v>
      </c>
      <c r="AO147" s="25"/>
      <c r="AP147" s="25">
        <v>127.8</v>
      </c>
    </row>
    <row r="148" spans="1:42" hidden="1" x14ac:dyDescent="0.3">
      <c r="A148" s="25" t="s">
        <v>34</v>
      </c>
      <c r="B148" s="25">
        <v>2017</v>
      </c>
      <c r="C148" s="25" t="s">
        <v>31</v>
      </c>
      <c r="D148" s="26">
        <f>DATE(B148,MATCH(TRIM(C148),{"January","February","March","April","May","June","July","August","September","October","November","December"},0),1)</f>
        <v>42736</v>
      </c>
      <c r="E148" s="25">
        <v>132.80000000000001</v>
      </c>
      <c r="F148" s="25">
        <v>138.19999999999999</v>
      </c>
      <c r="G148" s="25">
        <v>132.19999999999999</v>
      </c>
      <c r="H148" s="25">
        <v>135.4</v>
      </c>
      <c r="I148" s="25">
        <v>119.1</v>
      </c>
      <c r="J148" s="25">
        <v>133</v>
      </c>
      <c r="K148" s="25">
        <v>119.4</v>
      </c>
      <c r="L148" s="25">
        <v>159.5</v>
      </c>
      <c r="M148" s="25">
        <v>115.6</v>
      </c>
      <c r="N148" s="25">
        <v>139.6</v>
      </c>
      <c r="O148" s="25">
        <v>126.6</v>
      </c>
      <c r="P148" s="25">
        <v>142.80000000000001</v>
      </c>
      <c r="Q148" s="25">
        <v>133.1</v>
      </c>
      <c r="R148" s="25"/>
      <c r="S148" s="25">
        <v>143.80000000000001</v>
      </c>
      <c r="T148" s="25"/>
      <c r="U148" s="25">
        <v>136.6</v>
      </c>
      <c r="V148" s="25">
        <v>130.19999999999999</v>
      </c>
      <c r="W148" s="25">
        <v>135.6</v>
      </c>
      <c r="X148" s="25"/>
      <c r="Y148" s="25">
        <v>129.6</v>
      </c>
      <c r="Z148" s="25">
        <v>126.8</v>
      </c>
      <c r="AA148" s="25"/>
      <c r="AB148" s="25">
        <v>129.4</v>
      </c>
      <c r="AC148" s="25"/>
      <c r="AD148" s="25">
        <v>127.1</v>
      </c>
      <c r="AE148" s="25"/>
      <c r="AF148" s="25">
        <v>117</v>
      </c>
      <c r="AG148" s="25"/>
      <c r="AH148" s="25">
        <v>124.2</v>
      </c>
      <c r="AI148" s="25"/>
      <c r="AJ148" s="25">
        <v>133.30000000000001</v>
      </c>
      <c r="AK148" s="25"/>
      <c r="AL148" s="25">
        <v>121.7</v>
      </c>
      <c r="AM148" s="25"/>
      <c r="AN148" s="25">
        <v>124.4</v>
      </c>
      <c r="AO148" s="25"/>
      <c r="AP148" s="25">
        <v>130.30000000000001</v>
      </c>
    </row>
    <row r="149" spans="1:42" hidden="1" x14ac:dyDescent="0.3">
      <c r="A149" s="25" t="s">
        <v>30</v>
      </c>
      <c r="B149" s="25">
        <v>2017</v>
      </c>
      <c r="C149" s="25" t="s">
        <v>35</v>
      </c>
      <c r="D149" s="26">
        <f>DATE(B149,MATCH(TRIM(C149),{"January","February","March","April","May","June","July","August","September","October","November","December"},0),1)</f>
        <v>42767</v>
      </c>
      <c r="E149" s="25">
        <v>133.30000000000001</v>
      </c>
      <c r="F149" s="25">
        <v>138.30000000000001</v>
      </c>
      <c r="G149" s="25">
        <v>129.30000000000001</v>
      </c>
      <c r="H149" s="25">
        <v>137.19999999999999</v>
      </c>
      <c r="I149" s="25">
        <v>122.1</v>
      </c>
      <c r="J149" s="25">
        <v>138.69999999999999</v>
      </c>
      <c r="K149" s="25">
        <v>119.1</v>
      </c>
      <c r="L149" s="25">
        <v>156.9</v>
      </c>
      <c r="M149" s="25">
        <v>116.2</v>
      </c>
      <c r="N149" s="25">
        <v>136</v>
      </c>
      <c r="O149" s="25">
        <v>129.4</v>
      </c>
      <c r="P149" s="25">
        <v>144.4</v>
      </c>
      <c r="Q149" s="25">
        <v>133.6</v>
      </c>
      <c r="R149" s="25"/>
      <c r="S149" s="25">
        <v>143.69999999999999</v>
      </c>
      <c r="T149" s="25"/>
      <c r="U149" s="25">
        <v>140.9</v>
      </c>
      <c r="V149" s="25">
        <v>135.80000000000001</v>
      </c>
      <c r="W149" s="25">
        <v>140.19999999999999</v>
      </c>
      <c r="X149" s="25"/>
      <c r="Y149" s="25" t="s">
        <v>32</v>
      </c>
      <c r="Z149" s="25">
        <v>133.19999999999999</v>
      </c>
      <c r="AA149" s="25"/>
      <c r="AB149" s="25">
        <v>133.6</v>
      </c>
      <c r="AC149" s="25"/>
      <c r="AD149" s="25">
        <v>130.1</v>
      </c>
      <c r="AE149" s="25"/>
      <c r="AF149" s="25">
        <v>119.5</v>
      </c>
      <c r="AG149" s="25"/>
      <c r="AH149" s="25">
        <v>127.7</v>
      </c>
      <c r="AI149" s="25"/>
      <c r="AJ149" s="25">
        <v>134.9</v>
      </c>
      <c r="AK149" s="25"/>
      <c r="AL149" s="25">
        <v>123.2</v>
      </c>
      <c r="AM149" s="25"/>
      <c r="AN149" s="25">
        <v>127</v>
      </c>
      <c r="AO149" s="25"/>
      <c r="AP149" s="25">
        <v>132.6</v>
      </c>
    </row>
    <row r="150" spans="1:42" hidden="1" x14ac:dyDescent="0.3">
      <c r="A150" s="25" t="s">
        <v>33</v>
      </c>
      <c r="B150" s="25">
        <v>2017</v>
      </c>
      <c r="C150" s="25" t="s">
        <v>35</v>
      </c>
      <c r="D150" s="26">
        <f>DATE(B150,MATCH(TRIM(C150),{"January","February","March","April","May","June","July","August","September","October","November","December"},0),1)</f>
        <v>42767</v>
      </c>
      <c r="E150" s="25">
        <v>132.80000000000001</v>
      </c>
      <c r="F150" s="25">
        <v>139.80000000000001</v>
      </c>
      <c r="G150" s="25">
        <v>129.30000000000001</v>
      </c>
      <c r="H150" s="25">
        <v>133.5</v>
      </c>
      <c r="I150" s="25">
        <v>114.3</v>
      </c>
      <c r="J150" s="25">
        <v>131.4</v>
      </c>
      <c r="K150" s="25">
        <v>120.2</v>
      </c>
      <c r="L150" s="25">
        <v>143.1</v>
      </c>
      <c r="M150" s="25">
        <v>119.5</v>
      </c>
      <c r="N150" s="25">
        <v>144</v>
      </c>
      <c r="O150" s="25">
        <v>123.4</v>
      </c>
      <c r="P150" s="25">
        <v>141.9</v>
      </c>
      <c r="Q150" s="25">
        <v>132.1</v>
      </c>
      <c r="R150" s="25"/>
      <c r="S150" s="25">
        <v>146.30000000000001</v>
      </c>
      <c r="T150" s="25"/>
      <c r="U150" s="25">
        <v>130.5</v>
      </c>
      <c r="V150" s="25">
        <v>122.5</v>
      </c>
      <c r="W150" s="25">
        <v>129.30000000000001</v>
      </c>
      <c r="X150" s="25"/>
      <c r="Y150" s="25">
        <v>130.5</v>
      </c>
      <c r="Z150" s="25">
        <v>119.2</v>
      </c>
      <c r="AA150" s="25"/>
      <c r="AB150" s="25">
        <v>125.3</v>
      </c>
      <c r="AC150" s="25"/>
      <c r="AD150" s="25">
        <v>122.9</v>
      </c>
      <c r="AE150" s="25"/>
      <c r="AF150" s="25">
        <v>115.5</v>
      </c>
      <c r="AG150" s="25"/>
      <c r="AH150" s="25">
        <v>122.2</v>
      </c>
      <c r="AI150" s="25"/>
      <c r="AJ150" s="25">
        <v>132.4</v>
      </c>
      <c r="AK150" s="25"/>
      <c r="AL150" s="25">
        <v>121.7</v>
      </c>
      <c r="AM150" s="25"/>
      <c r="AN150" s="25">
        <v>122.4</v>
      </c>
      <c r="AO150" s="25"/>
      <c r="AP150" s="25">
        <v>128.19999999999999</v>
      </c>
    </row>
    <row r="151" spans="1:42" hidden="1" x14ac:dyDescent="0.3">
      <c r="A151" s="25" t="s">
        <v>34</v>
      </c>
      <c r="B151" s="25">
        <v>2017</v>
      </c>
      <c r="C151" s="25" t="s">
        <v>35</v>
      </c>
      <c r="D151" s="26">
        <f>DATE(B151,MATCH(TRIM(C151),{"January","February","March","April","May","June","July","August","September","October","November","December"},0),1)</f>
        <v>42767</v>
      </c>
      <c r="E151" s="25">
        <v>133.1</v>
      </c>
      <c r="F151" s="25">
        <v>138.80000000000001</v>
      </c>
      <c r="G151" s="25">
        <v>129.30000000000001</v>
      </c>
      <c r="H151" s="25">
        <v>135.80000000000001</v>
      </c>
      <c r="I151" s="25">
        <v>119.2</v>
      </c>
      <c r="J151" s="25">
        <v>135.30000000000001</v>
      </c>
      <c r="K151" s="25">
        <v>119.5</v>
      </c>
      <c r="L151" s="25">
        <v>152.19999999999999</v>
      </c>
      <c r="M151" s="25">
        <v>117.3</v>
      </c>
      <c r="N151" s="25">
        <v>138.69999999999999</v>
      </c>
      <c r="O151" s="25">
        <v>126.9</v>
      </c>
      <c r="P151" s="25">
        <v>143.19999999999999</v>
      </c>
      <c r="Q151" s="25">
        <v>133</v>
      </c>
      <c r="R151" s="25"/>
      <c r="S151" s="25">
        <v>144.4</v>
      </c>
      <c r="T151" s="25"/>
      <c r="U151" s="25">
        <v>136.80000000000001</v>
      </c>
      <c r="V151" s="25">
        <v>130.30000000000001</v>
      </c>
      <c r="W151" s="25">
        <v>135.9</v>
      </c>
      <c r="X151" s="25"/>
      <c r="Y151" s="25">
        <v>130.5</v>
      </c>
      <c r="Z151" s="25">
        <v>127.9</v>
      </c>
      <c r="AA151" s="25"/>
      <c r="AB151" s="25">
        <v>129.69999999999999</v>
      </c>
      <c r="AC151" s="25"/>
      <c r="AD151" s="25">
        <v>127.4</v>
      </c>
      <c r="AE151" s="25"/>
      <c r="AF151" s="25">
        <v>117.4</v>
      </c>
      <c r="AG151" s="25"/>
      <c r="AH151" s="25">
        <v>124.6</v>
      </c>
      <c r="AI151" s="25"/>
      <c r="AJ151" s="25">
        <v>133.4</v>
      </c>
      <c r="AK151" s="25"/>
      <c r="AL151" s="25">
        <v>122.6</v>
      </c>
      <c r="AM151" s="25"/>
      <c r="AN151" s="25">
        <v>124.8</v>
      </c>
      <c r="AO151" s="25"/>
      <c r="AP151" s="25">
        <v>130.6</v>
      </c>
    </row>
    <row r="152" spans="1:42" hidden="1" x14ac:dyDescent="0.3">
      <c r="A152" s="25" t="s">
        <v>30</v>
      </c>
      <c r="B152" s="25">
        <v>2017</v>
      </c>
      <c r="C152" s="25" t="s">
        <v>36</v>
      </c>
      <c r="D152" s="26">
        <f>DATE(B152,MATCH(TRIM(C152),{"January","February","March","April","May","June","July","August","September","October","November","December"},0),1)</f>
        <v>42795</v>
      </c>
      <c r="E152" s="25">
        <v>133.6</v>
      </c>
      <c r="F152" s="25">
        <v>138.80000000000001</v>
      </c>
      <c r="G152" s="25">
        <v>128.80000000000001</v>
      </c>
      <c r="H152" s="25">
        <v>137.19999999999999</v>
      </c>
      <c r="I152" s="25">
        <v>121.6</v>
      </c>
      <c r="J152" s="25">
        <v>139.69999999999999</v>
      </c>
      <c r="K152" s="25">
        <v>119.7</v>
      </c>
      <c r="L152" s="25">
        <v>148</v>
      </c>
      <c r="M152" s="25">
        <v>116.9</v>
      </c>
      <c r="N152" s="25">
        <v>135.6</v>
      </c>
      <c r="O152" s="25">
        <v>129.80000000000001</v>
      </c>
      <c r="P152" s="25">
        <v>145.4</v>
      </c>
      <c r="Q152" s="25">
        <v>133.4</v>
      </c>
      <c r="R152" s="25"/>
      <c r="S152" s="25">
        <v>144.19999999999999</v>
      </c>
      <c r="T152" s="25"/>
      <c r="U152" s="25">
        <v>141.6</v>
      </c>
      <c r="V152" s="25">
        <v>136.19999999999999</v>
      </c>
      <c r="W152" s="25">
        <v>140.80000000000001</v>
      </c>
      <c r="X152" s="25"/>
      <c r="Y152" s="25" t="s">
        <v>32</v>
      </c>
      <c r="Z152" s="25">
        <v>134.19999999999999</v>
      </c>
      <c r="AA152" s="25"/>
      <c r="AB152" s="25">
        <v>134.1</v>
      </c>
      <c r="AC152" s="25"/>
      <c r="AD152" s="25">
        <v>130.6</v>
      </c>
      <c r="AE152" s="25"/>
      <c r="AF152" s="25">
        <v>119.8</v>
      </c>
      <c r="AG152" s="25"/>
      <c r="AH152" s="25">
        <v>128.30000000000001</v>
      </c>
      <c r="AI152" s="25"/>
      <c r="AJ152" s="25">
        <v>135.19999999999999</v>
      </c>
      <c r="AK152" s="25"/>
      <c r="AL152" s="25">
        <v>123.3</v>
      </c>
      <c r="AM152" s="25"/>
      <c r="AN152" s="25">
        <v>127.4</v>
      </c>
      <c r="AO152" s="25"/>
      <c r="AP152" s="25">
        <v>132.80000000000001</v>
      </c>
    </row>
    <row r="153" spans="1:42" hidden="1" x14ac:dyDescent="0.3">
      <c r="A153" s="25" t="s">
        <v>33</v>
      </c>
      <c r="B153" s="25">
        <v>2017</v>
      </c>
      <c r="C153" s="25" t="s">
        <v>36</v>
      </c>
      <c r="D153" s="26">
        <f>DATE(B153,MATCH(TRIM(C153),{"January","February","March","April","May","June","July","August","September","October","November","December"},0),1)</f>
        <v>42795</v>
      </c>
      <c r="E153" s="25">
        <v>132.69999999999999</v>
      </c>
      <c r="F153" s="25">
        <v>139.4</v>
      </c>
      <c r="G153" s="25">
        <v>128.4</v>
      </c>
      <c r="H153" s="25">
        <v>134.9</v>
      </c>
      <c r="I153" s="25">
        <v>114</v>
      </c>
      <c r="J153" s="25">
        <v>136.80000000000001</v>
      </c>
      <c r="K153" s="25">
        <v>122.2</v>
      </c>
      <c r="L153" s="25">
        <v>135.80000000000001</v>
      </c>
      <c r="M153" s="25">
        <v>120.3</v>
      </c>
      <c r="N153" s="25">
        <v>142.6</v>
      </c>
      <c r="O153" s="25">
        <v>123.6</v>
      </c>
      <c r="P153" s="25">
        <v>142.4</v>
      </c>
      <c r="Q153" s="25">
        <v>132.6</v>
      </c>
      <c r="R153" s="25"/>
      <c r="S153" s="25">
        <v>147.5</v>
      </c>
      <c r="T153" s="25"/>
      <c r="U153" s="25">
        <v>130.80000000000001</v>
      </c>
      <c r="V153" s="25">
        <v>122.8</v>
      </c>
      <c r="W153" s="25">
        <v>129.6</v>
      </c>
      <c r="X153" s="25"/>
      <c r="Y153" s="25">
        <v>131.1</v>
      </c>
      <c r="Z153" s="25">
        <v>120.8</v>
      </c>
      <c r="AA153" s="25"/>
      <c r="AB153" s="25">
        <v>125.6</v>
      </c>
      <c r="AC153" s="25"/>
      <c r="AD153" s="25">
        <v>123.1</v>
      </c>
      <c r="AE153" s="25"/>
      <c r="AF153" s="25">
        <v>115.6</v>
      </c>
      <c r="AG153" s="25"/>
      <c r="AH153" s="25">
        <v>122.4</v>
      </c>
      <c r="AI153" s="25"/>
      <c r="AJ153" s="25">
        <v>132.80000000000001</v>
      </c>
      <c r="AK153" s="25"/>
      <c r="AL153" s="25">
        <v>121.7</v>
      </c>
      <c r="AM153" s="25"/>
      <c r="AN153" s="25">
        <v>122.6</v>
      </c>
      <c r="AO153" s="25"/>
      <c r="AP153" s="25">
        <v>128.69999999999999</v>
      </c>
    </row>
    <row r="154" spans="1:42" hidden="1" x14ac:dyDescent="0.3">
      <c r="A154" s="25" t="s">
        <v>34</v>
      </c>
      <c r="B154" s="25">
        <v>2017</v>
      </c>
      <c r="C154" s="25" t="s">
        <v>36</v>
      </c>
      <c r="D154" s="26">
        <f>DATE(B154,MATCH(TRIM(C154),{"January","February","March","April","May","June","July","August","September","October","November","December"},0),1)</f>
        <v>42795</v>
      </c>
      <c r="E154" s="25">
        <v>133.30000000000001</v>
      </c>
      <c r="F154" s="25">
        <v>139</v>
      </c>
      <c r="G154" s="25">
        <v>128.6</v>
      </c>
      <c r="H154" s="25">
        <v>136.30000000000001</v>
      </c>
      <c r="I154" s="25">
        <v>118.8</v>
      </c>
      <c r="J154" s="25">
        <v>138.30000000000001</v>
      </c>
      <c r="K154" s="25">
        <v>120.5</v>
      </c>
      <c r="L154" s="25">
        <v>143.9</v>
      </c>
      <c r="M154" s="25">
        <v>118</v>
      </c>
      <c r="N154" s="25">
        <v>137.9</v>
      </c>
      <c r="O154" s="25">
        <v>127.2</v>
      </c>
      <c r="P154" s="25">
        <v>144</v>
      </c>
      <c r="Q154" s="25">
        <v>133.1</v>
      </c>
      <c r="R154" s="25"/>
      <c r="S154" s="25">
        <v>145.1</v>
      </c>
      <c r="T154" s="25"/>
      <c r="U154" s="25">
        <v>137.30000000000001</v>
      </c>
      <c r="V154" s="25">
        <v>130.6</v>
      </c>
      <c r="W154" s="25">
        <v>136.4</v>
      </c>
      <c r="X154" s="25"/>
      <c r="Y154" s="25">
        <v>131.1</v>
      </c>
      <c r="Z154" s="25">
        <v>129.1</v>
      </c>
      <c r="AA154" s="25"/>
      <c r="AB154" s="25">
        <v>130.1</v>
      </c>
      <c r="AC154" s="25"/>
      <c r="AD154" s="25">
        <v>127.8</v>
      </c>
      <c r="AE154" s="25"/>
      <c r="AF154" s="25">
        <v>117.6</v>
      </c>
      <c r="AG154" s="25"/>
      <c r="AH154" s="25">
        <v>125</v>
      </c>
      <c r="AI154" s="25"/>
      <c r="AJ154" s="25">
        <v>133.80000000000001</v>
      </c>
      <c r="AK154" s="25"/>
      <c r="AL154" s="25">
        <v>122.6</v>
      </c>
      <c r="AM154" s="25"/>
      <c r="AN154" s="25">
        <v>125.1</v>
      </c>
      <c r="AO154" s="25"/>
      <c r="AP154" s="25">
        <v>130.9</v>
      </c>
    </row>
    <row r="155" spans="1:42" hidden="1" x14ac:dyDescent="0.3">
      <c r="A155" s="25" t="s">
        <v>30</v>
      </c>
      <c r="B155" s="25">
        <v>2017</v>
      </c>
      <c r="C155" s="25" t="s">
        <v>37</v>
      </c>
      <c r="D155" s="26">
        <f>DATE(B155,MATCH(TRIM(C155),{"January","February","March","April","May","June","July","August","September","October","November","December"},0),1)</f>
        <v>42826</v>
      </c>
      <c r="E155" s="25">
        <v>133.19999999999999</v>
      </c>
      <c r="F155" s="25">
        <v>138.69999999999999</v>
      </c>
      <c r="G155" s="25">
        <v>127.1</v>
      </c>
      <c r="H155" s="25">
        <v>137.69999999999999</v>
      </c>
      <c r="I155" s="25">
        <v>121.3</v>
      </c>
      <c r="J155" s="25">
        <v>141.80000000000001</v>
      </c>
      <c r="K155" s="25">
        <v>121.5</v>
      </c>
      <c r="L155" s="25">
        <v>144.5</v>
      </c>
      <c r="M155" s="25">
        <v>117.4</v>
      </c>
      <c r="N155" s="25">
        <v>134.1</v>
      </c>
      <c r="O155" s="25">
        <v>130</v>
      </c>
      <c r="P155" s="25">
        <v>145.5</v>
      </c>
      <c r="Q155" s="25">
        <v>133.5</v>
      </c>
      <c r="R155" s="25"/>
      <c r="S155" s="25">
        <v>144.4</v>
      </c>
      <c r="T155" s="25"/>
      <c r="U155" s="25">
        <v>142.4</v>
      </c>
      <c r="V155" s="25">
        <v>136.80000000000001</v>
      </c>
      <c r="W155" s="25">
        <v>141.6</v>
      </c>
      <c r="X155" s="25"/>
      <c r="Y155" s="25" t="s">
        <v>32</v>
      </c>
      <c r="Z155" s="25">
        <v>135</v>
      </c>
      <c r="AA155" s="25"/>
      <c r="AB155" s="25">
        <v>134.30000000000001</v>
      </c>
      <c r="AC155" s="25"/>
      <c r="AD155" s="25">
        <v>131</v>
      </c>
      <c r="AE155" s="25"/>
      <c r="AF155" s="25">
        <v>119.2</v>
      </c>
      <c r="AG155" s="25"/>
      <c r="AH155" s="25">
        <v>128.30000000000001</v>
      </c>
      <c r="AI155" s="25"/>
      <c r="AJ155" s="25">
        <v>135.69999999999999</v>
      </c>
      <c r="AK155" s="25"/>
      <c r="AL155" s="25">
        <v>123.7</v>
      </c>
      <c r="AM155" s="25"/>
      <c r="AN155" s="25">
        <v>127.5</v>
      </c>
      <c r="AO155" s="25"/>
      <c r="AP155" s="25">
        <v>132.9</v>
      </c>
    </row>
    <row r="156" spans="1:42" hidden="1" x14ac:dyDescent="0.3">
      <c r="A156" s="25" t="s">
        <v>33</v>
      </c>
      <c r="B156" s="25">
        <v>2017</v>
      </c>
      <c r="C156" s="25" t="s">
        <v>37</v>
      </c>
      <c r="D156" s="26">
        <f>DATE(B156,MATCH(TRIM(C156),{"January","February","March","April","May","June","July","August","September","October","November","December"},0),1)</f>
        <v>42826</v>
      </c>
      <c r="E156" s="25">
        <v>132.69999999999999</v>
      </c>
      <c r="F156" s="25">
        <v>140.6</v>
      </c>
      <c r="G156" s="25">
        <v>124.5</v>
      </c>
      <c r="H156" s="25">
        <v>136.30000000000001</v>
      </c>
      <c r="I156" s="25">
        <v>113.5</v>
      </c>
      <c r="J156" s="25">
        <v>137.69999999999999</v>
      </c>
      <c r="K156" s="25">
        <v>127.1</v>
      </c>
      <c r="L156" s="25">
        <v>133.80000000000001</v>
      </c>
      <c r="M156" s="25">
        <v>120.8</v>
      </c>
      <c r="N156" s="25">
        <v>141.30000000000001</v>
      </c>
      <c r="O156" s="25">
        <v>123.8</v>
      </c>
      <c r="P156" s="25">
        <v>142.6</v>
      </c>
      <c r="Q156" s="25">
        <v>133.4</v>
      </c>
      <c r="R156" s="25"/>
      <c r="S156" s="25">
        <v>148</v>
      </c>
      <c r="T156" s="25"/>
      <c r="U156" s="25">
        <v>131.19999999999999</v>
      </c>
      <c r="V156" s="25">
        <v>123</v>
      </c>
      <c r="W156" s="25">
        <v>130</v>
      </c>
      <c r="X156" s="25"/>
      <c r="Y156" s="25">
        <v>131.69999999999999</v>
      </c>
      <c r="Z156" s="25">
        <v>121.4</v>
      </c>
      <c r="AA156" s="25"/>
      <c r="AB156" s="25">
        <v>126</v>
      </c>
      <c r="AC156" s="25"/>
      <c r="AD156" s="25">
        <v>123.4</v>
      </c>
      <c r="AE156" s="25"/>
      <c r="AF156" s="25">
        <v>114.3</v>
      </c>
      <c r="AG156" s="25"/>
      <c r="AH156" s="25">
        <v>122.6</v>
      </c>
      <c r="AI156" s="25"/>
      <c r="AJ156" s="25">
        <v>133.6</v>
      </c>
      <c r="AK156" s="25"/>
      <c r="AL156" s="25">
        <v>122.2</v>
      </c>
      <c r="AM156" s="25"/>
      <c r="AN156" s="25">
        <v>122.5</v>
      </c>
      <c r="AO156" s="25"/>
      <c r="AP156" s="25">
        <v>129.1</v>
      </c>
    </row>
    <row r="157" spans="1:42" hidden="1" x14ac:dyDescent="0.3">
      <c r="A157" s="25" t="s">
        <v>34</v>
      </c>
      <c r="B157" s="25">
        <v>2017</v>
      </c>
      <c r="C157" s="25" t="s">
        <v>37</v>
      </c>
      <c r="D157" s="26">
        <f>DATE(B157,MATCH(TRIM(C157),{"January","February","March","April","May","June","July","August","September","October","November","December"},0),1)</f>
        <v>42826</v>
      </c>
      <c r="E157" s="25">
        <v>133</v>
      </c>
      <c r="F157" s="25">
        <v>139.4</v>
      </c>
      <c r="G157" s="25">
        <v>126.1</v>
      </c>
      <c r="H157" s="25">
        <v>137.19999999999999</v>
      </c>
      <c r="I157" s="25">
        <v>118.4</v>
      </c>
      <c r="J157" s="25">
        <v>139.9</v>
      </c>
      <c r="K157" s="25">
        <v>123.4</v>
      </c>
      <c r="L157" s="25">
        <v>140.9</v>
      </c>
      <c r="M157" s="25">
        <v>118.5</v>
      </c>
      <c r="N157" s="25">
        <v>136.5</v>
      </c>
      <c r="O157" s="25">
        <v>127.4</v>
      </c>
      <c r="P157" s="25">
        <v>144.19999999999999</v>
      </c>
      <c r="Q157" s="25">
        <v>133.5</v>
      </c>
      <c r="R157" s="25"/>
      <c r="S157" s="25">
        <v>145.4</v>
      </c>
      <c r="T157" s="25"/>
      <c r="U157" s="25">
        <v>138</v>
      </c>
      <c r="V157" s="25">
        <v>131.1</v>
      </c>
      <c r="W157" s="25">
        <v>137</v>
      </c>
      <c r="X157" s="25"/>
      <c r="Y157" s="25">
        <v>131.69999999999999</v>
      </c>
      <c r="Z157" s="25">
        <v>129.80000000000001</v>
      </c>
      <c r="AA157" s="25"/>
      <c r="AB157" s="25">
        <v>130.4</v>
      </c>
      <c r="AC157" s="25"/>
      <c r="AD157" s="25">
        <v>128.1</v>
      </c>
      <c r="AE157" s="25"/>
      <c r="AF157" s="25">
        <v>116.6</v>
      </c>
      <c r="AG157" s="25"/>
      <c r="AH157" s="25">
        <v>125.1</v>
      </c>
      <c r="AI157" s="25"/>
      <c r="AJ157" s="25">
        <v>134.5</v>
      </c>
      <c r="AK157" s="25"/>
      <c r="AL157" s="25">
        <v>123.1</v>
      </c>
      <c r="AM157" s="25"/>
      <c r="AN157" s="25">
        <v>125.1</v>
      </c>
      <c r="AO157" s="25"/>
      <c r="AP157" s="25">
        <v>131.1</v>
      </c>
    </row>
    <row r="158" spans="1:42" hidden="1" x14ac:dyDescent="0.3">
      <c r="A158" s="25" t="s">
        <v>30</v>
      </c>
      <c r="B158" s="25">
        <v>2017</v>
      </c>
      <c r="C158" s="25" t="s">
        <v>38</v>
      </c>
      <c r="D158" s="26">
        <f>DATE(B158,MATCH(TRIM(C158),{"January","February","March","April","May","June","July","August","September","October","November","December"},0),1)</f>
        <v>42856</v>
      </c>
      <c r="E158" s="25">
        <v>133.1</v>
      </c>
      <c r="F158" s="25">
        <v>140.30000000000001</v>
      </c>
      <c r="G158" s="25">
        <v>126.8</v>
      </c>
      <c r="H158" s="25">
        <v>138.19999999999999</v>
      </c>
      <c r="I158" s="25">
        <v>120.8</v>
      </c>
      <c r="J158" s="25">
        <v>140.19999999999999</v>
      </c>
      <c r="K158" s="25">
        <v>123.8</v>
      </c>
      <c r="L158" s="25">
        <v>141.80000000000001</v>
      </c>
      <c r="M158" s="25">
        <v>118.6</v>
      </c>
      <c r="N158" s="25">
        <v>134</v>
      </c>
      <c r="O158" s="25">
        <v>130.30000000000001</v>
      </c>
      <c r="P158" s="25">
        <v>145.80000000000001</v>
      </c>
      <c r="Q158" s="25">
        <v>133.80000000000001</v>
      </c>
      <c r="R158" s="25"/>
      <c r="S158" s="25">
        <v>145.5</v>
      </c>
      <c r="T158" s="25"/>
      <c r="U158" s="25">
        <v>142.5</v>
      </c>
      <c r="V158" s="25">
        <v>137.30000000000001</v>
      </c>
      <c r="W158" s="25">
        <v>141.80000000000001</v>
      </c>
      <c r="X158" s="25"/>
      <c r="Y158" s="25" t="s">
        <v>32</v>
      </c>
      <c r="Z158" s="25">
        <v>135</v>
      </c>
      <c r="AA158" s="25"/>
      <c r="AB158" s="25">
        <v>134.9</v>
      </c>
      <c r="AC158" s="25"/>
      <c r="AD158" s="25">
        <v>131.4</v>
      </c>
      <c r="AE158" s="25"/>
      <c r="AF158" s="25">
        <v>119.4</v>
      </c>
      <c r="AG158" s="25"/>
      <c r="AH158" s="25">
        <v>129.4</v>
      </c>
      <c r="AI158" s="25"/>
      <c r="AJ158" s="25">
        <v>136.30000000000001</v>
      </c>
      <c r="AK158" s="25"/>
      <c r="AL158" s="25">
        <v>123.7</v>
      </c>
      <c r="AM158" s="25"/>
      <c r="AN158" s="25">
        <v>127.9</v>
      </c>
      <c r="AO158" s="25"/>
      <c r="AP158" s="25">
        <v>133.30000000000001</v>
      </c>
    </row>
    <row r="159" spans="1:42" hidden="1" x14ac:dyDescent="0.3">
      <c r="A159" s="25" t="s">
        <v>33</v>
      </c>
      <c r="B159" s="25">
        <v>2017</v>
      </c>
      <c r="C159" s="25" t="s">
        <v>38</v>
      </c>
      <c r="D159" s="26">
        <f>DATE(B159,MATCH(TRIM(C159),{"January","February","March","April","May","June","July","August","September","October","November","December"},0),1)</f>
        <v>42856</v>
      </c>
      <c r="E159" s="25">
        <v>132.6</v>
      </c>
      <c r="F159" s="25">
        <v>144.1</v>
      </c>
      <c r="G159" s="25">
        <v>125.6</v>
      </c>
      <c r="H159" s="25">
        <v>136.80000000000001</v>
      </c>
      <c r="I159" s="25">
        <v>113.4</v>
      </c>
      <c r="J159" s="25">
        <v>135.19999999999999</v>
      </c>
      <c r="K159" s="25">
        <v>129.19999999999999</v>
      </c>
      <c r="L159" s="25">
        <v>131.5</v>
      </c>
      <c r="M159" s="25">
        <v>121</v>
      </c>
      <c r="N159" s="25">
        <v>139.9</v>
      </c>
      <c r="O159" s="25">
        <v>123.8</v>
      </c>
      <c r="P159" s="25">
        <v>142.9</v>
      </c>
      <c r="Q159" s="25">
        <v>133.6</v>
      </c>
      <c r="R159" s="25"/>
      <c r="S159" s="25">
        <v>148.30000000000001</v>
      </c>
      <c r="T159" s="25"/>
      <c r="U159" s="25">
        <v>131.5</v>
      </c>
      <c r="V159" s="25">
        <v>123.2</v>
      </c>
      <c r="W159" s="25">
        <v>130.19999999999999</v>
      </c>
      <c r="X159" s="25"/>
      <c r="Y159" s="25">
        <v>132.1</v>
      </c>
      <c r="Z159" s="25">
        <v>120.1</v>
      </c>
      <c r="AA159" s="25"/>
      <c r="AB159" s="25">
        <v>126.5</v>
      </c>
      <c r="AC159" s="25"/>
      <c r="AD159" s="25">
        <v>123.6</v>
      </c>
      <c r="AE159" s="25"/>
      <c r="AF159" s="25">
        <v>114.3</v>
      </c>
      <c r="AG159" s="25"/>
      <c r="AH159" s="25">
        <v>122.8</v>
      </c>
      <c r="AI159" s="25"/>
      <c r="AJ159" s="25">
        <v>133.80000000000001</v>
      </c>
      <c r="AK159" s="25"/>
      <c r="AL159" s="25">
        <v>122</v>
      </c>
      <c r="AM159" s="25"/>
      <c r="AN159" s="25">
        <v>122.6</v>
      </c>
      <c r="AO159" s="25"/>
      <c r="AP159" s="25">
        <v>129.30000000000001</v>
      </c>
    </row>
    <row r="160" spans="1:42" hidden="1" x14ac:dyDescent="0.3">
      <c r="A160" s="25" t="s">
        <v>34</v>
      </c>
      <c r="B160" s="25">
        <v>2017</v>
      </c>
      <c r="C160" s="25" t="s">
        <v>38</v>
      </c>
      <c r="D160" s="26">
        <f>DATE(B160,MATCH(TRIM(C160),{"January","February","March","April","May","June","July","August","September","October","November","December"},0),1)</f>
        <v>42856</v>
      </c>
      <c r="E160" s="25">
        <v>132.9</v>
      </c>
      <c r="F160" s="25">
        <v>141.6</v>
      </c>
      <c r="G160" s="25">
        <v>126.3</v>
      </c>
      <c r="H160" s="25">
        <v>137.69999999999999</v>
      </c>
      <c r="I160" s="25">
        <v>118.1</v>
      </c>
      <c r="J160" s="25">
        <v>137.9</v>
      </c>
      <c r="K160" s="25">
        <v>125.6</v>
      </c>
      <c r="L160" s="25">
        <v>138.30000000000001</v>
      </c>
      <c r="M160" s="25">
        <v>119.4</v>
      </c>
      <c r="N160" s="25">
        <v>136</v>
      </c>
      <c r="O160" s="25">
        <v>127.6</v>
      </c>
      <c r="P160" s="25">
        <v>144.5</v>
      </c>
      <c r="Q160" s="25">
        <v>133.69999999999999</v>
      </c>
      <c r="R160" s="25"/>
      <c r="S160" s="25">
        <v>146.19999999999999</v>
      </c>
      <c r="T160" s="25"/>
      <c r="U160" s="25">
        <v>138.19999999999999</v>
      </c>
      <c r="V160" s="25">
        <v>131.4</v>
      </c>
      <c r="W160" s="25">
        <v>137.19999999999999</v>
      </c>
      <c r="X160" s="25"/>
      <c r="Y160" s="25">
        <v>132.1</v>
      </c>
      <c r="Z160" s="25">
        <v>129.4</v>
      </c>
      <c r="AA160" s="25"/>
      <c r="AB160" s="25">
        <v>130.9</v>
      </c>
      <c r="AC160" s="25"/>
      <c r="AD160" s="25">
        <v>128.4</v>
      </c>
      <c r="AE160" s="25"/>
      <c r="AF160" s="25">
        <v>116.7</v>
      </c>
      <c r="AG160" s="25"/>
      <c r="AH160" s="25">
        <v>125.7</v>
      </c>
      <c r="AI160" s="25"/>
      <c r="AJ160" s="25">
        <v>134.80000000000001</v>
      </c>
      <c r="AK160" s="25"/>
      <c r="AL160" s="25">
        <v>123</v>
      </c>
      <c r="AM160" s="25"/>
      <c r="AN160" s="25">
        <v>125.3</v>
      </c>
      <c r="AO160" s="25"/>
      <c r="AP160" s="25">
        <v>131.4</v>
      </c>
    </row>
    <row r="161" spans="1:42" hidden="1" x14ac:dyDescent="0.3">
      <c r="A161" s="25" t="s">
        <v>30</v>
      </c>
      <c r="B161" s="25">
        <v>2017</v>
      </c>
      <c r="C161" s="25" t="s">
        <v>39</v>
      </c>
      <c r="D161" s="26">
        <f>DATE(B161,MATCH(TRIM(C161),{"January","February","March","April","May","June","July","August","September","October","November","December"},0),1)</f>
        <v>42887</v>
      </c>
      <c r="E161" s="25">
        <v>133.5</v>
      </c>
      <c r="F161" s="25">
        <v>143.69999999999999</v>
      </c>
      <c r="G161" s="25">
        <v>128</v>
      </c>
      <c r="H161" s="25">
        <v>138.6</v>
      </c>
      <c r="I161" s="25">
        <v>120.9</v>
      </c>
      <c r="J161" s="25">
        <v>140.9</v>
      </c>
      <c r="K161" s="25">
        <v>128.80000000000001</v>
      </c>
      <c r="L161" s="25">
        <v>140.19999999999999</v>
      </c>
      <c r="M161" s="25">
        <v>118.9</v>
      </c>
      <c r="N161" s="25">
        <v>133.5</v>
      </c>
      <c r="O161" s="25">
        <v>130.4</v>
      </c>
      <c r="P161" s="25">
        <v>146.5</v>
      </c>
      <c r="Q161" s="25">
        <v>134.9</v>
      </c>
      <c r="R161" s="25"/>
      <c r="S161" s="25">
        <v>145.80000000000001</v>
      </c>
      <c r="T161" s="25"/>
      <c r="U161" s="25">
        <v>143.1</v>
      </c>
      <c r="V161" s="25">
        <v>137.69999999999999</v>
      </c>
      <c r="W161" s="25">
        <v>142.30000000000001</v>
      </c>
      <c r="X161" s="25"/>
      <c r="Y161" s="25" t="s">
        <v>32</v>
      </c>
      <c r="Z161" s="25">
        <v>134.80000000000001</v>
      </c>
      <c r="AA161" s="25"/>
      <c r="AB161" s="25">
        <v>135.19999999999999</v>
      </c>
      <c r="AC161" s="25"/>
      <c r="AD161" s="25">
        <v>131.30000000000001</v>
      </c>
      <c r="AE161" s="25"/>
      <c r="AF161" s="25">
        <v>119.4</v>
      </c>
      <c r="AG161" s="25"/>
      <c r="AH161" s="25">
        <v>129.80000000000001</v>
      </c>
      <c r="AI161" s="25"/>
      <c r="AJ161" s="25">
        <v>136.9</v>
      </c>
      <c r="AK161" s="25"/>
      <c r="AL161" s="25">
        <v>124.1</v>
      </c>
      <c r="AM161" s="25"/>
      <c r="AN161" s="25">
        <v>128.1</v>
      </c>
      <c r="AO161" s="25"/>
      <c r="AP161" s="25">
        <v>133.9</v>
      </c>
    </row>
    <row r="162" spans="1:42" hidden="1" x14ac:dyDescent="0.3">
      <c r="A162" s="25" t="s">
        <v>33</v>
      </c>
      <c r="B162" s="25">
        <v>2017</v>
      </c>
      <c r="C162" s="25" t="s">
        <v>39</v>
      </c>
      <c r="D162" s="26">
        <f>DATE(B162,MATCH(TRIM(C162),{"January","February","March","April","May","June","July","August","September","October","November","December"},0),1)</f>
        <v>42887</v>
      </c>
      <c r="E162" s="25">
        <v>132.9</v>
      </c>
      <c r="F162" s="25">
        <v>148.69999999999999</v>
      </c>
      <c r="G162" s="25">
        <v>128.30000000000001</v>
      </c>
      <c r="H162" s="25">
        <v>137.30000000000001</v>
      </c>
      <c r="I162" s="25">
        <v>113.5</v>
      </c>
      <c r="J162" s="25">
        <v>137.19999999999999</v>
      </c>
      <c r="K162" s="25">
        <v>142.19999999999999</v>
      </c>
      <c r="L162" s="25">
        <v>128.19999999999999</v>
      </c>
      <c r="M162" s="25">
        <v>120.9</v>
      </c>
      <c r="N162" s="25">
        <v>138.80000000000001</v>
      </c>
      <c r="O162" s="25">
        <v>124.2</v>
      </c>
      <c r="P162" s="25">
        <v>143.1</v>
      </c>
      <c r="Q162" s="25">
        <v>135.69999999999999</v>
      </c>
      <c r="R162" s="25"/>
      <c r="S162" s="25">
        <v>148.6</v>
      </c>
      <c r="T162" s="25"/>
      <c r="U162" s="25">
        <v>131.5</v>
      </c>
      <c r="V162" s="25">
        <v>123.2</v>
      </c>
      <c r="W162" s="25">
        <v>130.19999999999999</v>
      </c>
      <c r="X162" s="25"/>
      <c r="Y162" s="25">
        <v>131.4</v>
      </c>
      <c r="Z162" s="25">
        <v>119</v>
      </c>
      <c r="AA162" s="25"/>
      <c r="AB162" s="25">
        <v>126.8</v>
      </c>
      <c r="AC162" s="25"/>
      <c r="AD162" s="25">
        <v>123.8</v>
      </c>
      <c r="AE162" s="25"/>
      <c r="AF162" s="25">
        <v>113.9</v>
      </c>
      <c r="AG162" s="25"/>
      <c r="AH162" s="25">
        <v>122.9</v>
      </c>
      <c r="AI162" s="25"/>
      <c r="AJ162" s="25">
        <v>134.30000000000001</v>
      </c>
      <c r="AK162" s="25"/>
      <c r="AL162" s="25">
        <v>122.5</v>
      </c>
      <c r="AM162" s="25"/>
      <c r="AN162" s="25">
        <v>122.7</v>
      </c>
      <c r="AO162" s="25"/>
      <c r="AP162" s="25">
        <v>129.9</v>
      </c>
    </row>
    <row r="163" spans="1:42" hidden="1" x14ac:dyDescent="0.3">
      <c r="A163" s="25" t="s">
        <v>34</v>
      </c>
      <c r="B163" s="25">
        <v>2017</v>
      </c>
      <c r="C163" s="25" t="s">
        <v>39</v>
      </c>
      <c r="D163" s="26">
        <f>DATE(B163,MATCH(TRIM(C163),{"January","February","March","April","May","June","July","August","September","October","November","December"},0),1)</f>
        <v>42887</v>
      </c>
      <c r="E163" s="25">
        <v>133.30000000000001</v>
      </c>
      <c r="F163" s="25">
        <v>145.5</v>
      </c>
      <c r="G163" s="25">
        <v>128.1</v>
      </c>
      <c r="H163" s="25">
        <v>138.1</v>
      </c>
      <c r="I163" s="25">
        <v>118.2</v>
      </c>
      <c r="J163" s="25">
        <v>139.19999999999999</v>
      </c>
      <c r="K163" s="25">
        <v>133.30000000000001</v>
      </c>
      <c r="L163" s="25">
        <v>136.19999999999999</v>
      </c>
      <c r="M163" s="25">
        <v>119.6</v>
      </c>
      <c r="N163" s="25">
        <v>135.30000000000001</v>
      </c>
      <c r="O163" s="25">
        <v>127.8</v>
      </c>
      <c r="P163" s="25">
        <v>144.9</v>
      </c>
      <c r="Q163" s="25">
        <v>135.19999999999999</v>
      </c>
      <c r="R163" s="25"/>
      <c r="S163" s="25">
        <v>146.5</v>
      </c>
      <c r="T163" s="25"/>
      <c r="U163" s="25">
        <v>138.5</v>
      </c>
      <c r="V163" s="25">
        <v>131.69999999999999</v>
      </c>
      <c r="W163" s="25">
        <v>137.5</v>
      </c>
      <c r="X163" s="25"/>
      <c r="Y163" s="25">
        <v>131.4</v>
      </c>
      <c r="Z163" s="25">
        <v>128.80000000000001</v>
      </c>
      <c r="AA163" s="25"/>
      <c r="AB163" s="25">
        <v>131.19999999999999</v>
      </c>
      <c r="AC163" s="25"/>
      <c r="AD163" s="25">
        <v>128.5</v>
      </c>
      <c r="AE163" s="25"/>
      <c r="AF163" s="25">
        <v>116.5</v>
      </c>
      <c r="AG163" s="25"/>
      <c r="AH163" s="25">
        <v>125.9</v>
      </c>
      <c r="AI163" s="25"/>
      <c r="AJ163" s="25">
        <v>135.4</v>
      </c>
      <c r="AK163" s="25"/>
      <c r="AL163" s="25">
        <v>123.4</v>
      </c>
      <c r="AM163" s="25"/>
      <c r="AN163" s="25">
        <v>125.5</v>
      </c>
      <c r="AO163" s="25"/>
      <c r="AP163" s="25">
        <v>132</v>
      </c>
    </row>
    <row r="164" spans="1:42" hidden="1" x14ac:dyDescent="0.3">
      <c r="A164" s="25" t="s">
        <v>30</v>
      </c>
      <c r="B164" s="25">
        <v>2017</v>
      </c>
      <c r="C164" s="25" t="s">
        <v>40</v>
      </c>
      <c r="D164" s="26">
        <f>DATE(B164,MATCH(TRIM(C164),{"January","February","March","April","May","June","July","August","September","October","November","December"},0),1)</f>
        <v>42917</v>
      </c>
      <c r="E164" s="25">
        <v>134</v>
      </c>
      <c r="F164" s="25">
        <v>144.19999999999999</v>
      </c>
      <c r="G164" s="25">
        <v>129.80000000000001</v>
      </c>
      <c r="H164" s="25">
        <v>139</v>
      </c>
      <c r="I164" s="25">
        <v>120.9</v>
      </c>
      <c r="J164" s="25">
        <v>143.9</v>
      </c>
      <c r="K164" s="25">
        <v>151.5</v>
      </c>
      <c r="L164" s="25">
        <v>138.1</v>
      </c>
      <c r="M164" s="25">
        <v>120</v>
      </c>
      <c r="N164" s="25">
        <v>133.9</v>
      </c>
      <c r="O164" s="25">
        <v>131.4</v>
      </c>
      <c r="P164" s="25">
        <v>147.69999999999999</v>
      </c>
      <c r="Q164" s="25">
        <v>138.5</v>
      </c>
      <c r="R164" s="25"/>
      <c r="S164" s="25">
        <v>147.4</v>
      </c>
      <c r="T164" s="25"/>
      <c r="U164" s="25">
        <v>144.30000000000001</v>
      </c>
      <c r="V164" s="25">
        <v>138.1</v>
      </c>
      <c r="W164" s="25">
        <v>143.5</v>
      </c>
      <c r="X164" s="25"/>
      <c r="Y164" s="25" t="s">
        <v>32</v>
      </c>
      <c r="Z164" s="25">
        <v>135.30000000000001</v>
      </c>
      <c r="AA164" s="25"/>
      <c r="AB164" s="25">
        <v>136.1</v>
      </c>
      <c r="AC164" s="25"/>
      <c r="AD164" s="25">
        <v>132.1</v>
      </c>
      <c r="AE164" s="25"/>
      <c r="AF164" s="25">
        <v>119.1</v>
      </c>
      <c r="AG164" s="25"/>
      <c r="AH164" s="25">
        <v>130.6</v>
      </c>
      <c r="AI164" s="25"/>
      <c r="AJ164" s="25">
        <v>138.6</v>
      </c>
      <c r="AK164" s="25"/>
      <c r="AL164" s="25">
        <v>124.4</v>
      </c>
      <c r="AM164" s="25"/>
      <c r="AN164" s="25">
        <v>128.6</v>
      </c>
      <c r="AO164" s="25"/>
      <c r="AP164" s="25">
        <v>136.19999999999999</v>
      </c>
    </row>
    <row r="165" spans="1:42" hidden="1" x14ac:dyDescent="0.3">
      <c r="A165" s="25" t="s">
        <v>33</v>
      </c>
      <c r="B165" s="25">
        <v>2017</v>
      </c>
      <c r="C165" s="25" t="s">
        <v>40</v>
      </c>
      <c r="D165" s="26">
        <f>DATE(B165,MATCH(TRIM(C165),{"January","February","March","April","May","June","July","August","September","October","November","December"},0),1)</f>
        <v>42917</v>
      </c>
      <c r="E165" s="25">
        <v>132.80000000000001</v>
      </c>
      <c r="F165" s="25">
        <v>148.4</v>
      </c>
      <c r="G165" s="25">
        <v>129.4</v>
      </c>
      <c r="H165" s="25">
        <v>137.69999999999999</v>
      </c>
      <c r="I165" s="25">
        <v>113.4</v>
      </c>
      <c r="J165" s="25">
        <v>139.4</v>
      </c>
      <c r="K165" s="25">
        <v>175.1</v>
      </c>
      <c r="L165" s="25">
        <v>124.7</v>
      </c>
      <c r="M165" s="25">
        <v>121.5</v>
      </c>
      <c r="N165" s="25">
        <v>137.80000000000001</v>
      </c>
      <c r="O165" s="25">
        <v>124.4</v>
      </c>
      <c r="P165" s="25">
        <v>143.69999999999999</v>
      </c>
      <c r="Q165" s="25">
        <v>139.80000000000001</v>
      </c>
      <c r="R165" s="25"/>
      <c r="S165" s="25">
        <v>150.5</v>
      </c>
      <c r="T165" s="25"/>
      <c r="U165" s="25">
        <v>131.6</v>
      </c>
      <c r="V165" s="25">
        <v>123.7</v>
      </c>
      <c r="W165" s="25">
        <v>130.4</v>
      </c>
      <c r="X165" s="25"/>
      <c r="Y165" s="25">
        <v>132.6</v>
      </c>
      <c r="Z165" s="25">
        <v>119.7</v>
      </c>
      <c r="AA165" s="25"/>
      <c r="AB165" s="25">
        <v>127.2</v>
      </c>
      <c r="AC165" s="25"/>
      <c r="AD165" s="25">
        <v>125</v>
      </c>
      <c r="AE165" s="25"/>
      <c r="AF165" s="25">
        <v>113.2</v>
      </c>
      <c r="AG165" s="25"/>
      <c r="AH165" s="25">
        <v>123.5</v>
      </c>
      <c r="AI165" s="25"/>
      <c r="AJ165" s="25">
        <v>135.5</v>
      </c>
      <c r="AK165" s="25"/>
      <c r="AL165" s="25">
        <v>122.4</v>
      </c>
      <c r="AM165" s="25"/>
      <c r="AN165" s="25">
        <v>123</v>
      </c>
      <c r="AO165" s="25"/>
      <c r="AP165" s="25">
        <v>131.80000000000001</v>
      </c>
    </row>
    <row r="166" spans="1:42" hidden="1" x14ac:dyDescent="0.3">
      <c r="A166" s="25" t="s">
        <v>34</v>
      </c>
      <c r="B166" s="25">
        <v>2017</v>
      </c>
      <c r="C166" s="25" t="s">
        <v>40</v>
      </c>
      <c r="D166" s="26">
        <f>DATE(B166,MATCH(TRIM(C166),{"January","February","March","April","May","June","July","August","September","October","November","December"},0),1)</f>
        <v>42917</v>
      </c>
      <c r="E166" s="25">
        <v>133.6</v>
      </c>
      <c r="F166" s="25">
        <v>145.69999999999999</v>
      </c>
      <c r="G166" s="25">
        <v>129.6</v>
      </c>
      <c r="H166" s="25">
        <v>138.5</v>
      </c>
      <c r="I166" s="25">
        <v>118.1</v>
      </c>
      <c r="J166" s="25">
        <v>141.80000000000001</v>
      </c>
      <c r="K166" s="25">
        <v>159.5</v>
      </c>
      <c r="L166" s="25">
        <v>133.6</v>
      </c>
      <c r="M166" s="25">
        <v>120.5</v>
      </c>
      <c r="N166" s="25">
        <v>135.19999999999999</v>
      </c>
      <c r="O166" s="25">
        <v>128.5</v>
      </c>
      <c r="P166" s="25">
        <v>145.80000000000001</v>
      </c>
      <c r="Q166" s="25">
        <v>139</v>
      </c>
      <c r="R166" s="25"/>
      <c r="S166" s="25">
        <v>148.19999999999999</v>
      </c>
      <c r="T166" s="25"/>
      <c r="U166" s="25">
        <v>139.30000000000001</v>
      </c>
      <c r="V166" s="25">
        <v>132.1</v>
      </c>
      <c r="W166" s="25">
        <v>138.30000000000001</v>
      </c>
      <c r="X166" s="25"/>
      <c r="Y166" s="25">
        <v>132.6</v>
      </c>
      <c r="Z166" s="25">
        <v>129.4</v>
      </c>
      <c r="AA166" s="25"/>
      <c r="AB166" s="25">
        <v>131.9</v>
      </c>
      <c r="AC166" s="25"/>
      <c r="AD166" s="25">
        <v>129.4</v>
      </c>
      <c r="AE166" s="25"/>
      <c r="AF166" s="25">
        <v>116</v>
      </c>
      <c r="AG166" s="25"/>
      <c r="AH166" s="25">
        <v>126.6</v>
      </c>
      <c r="AI166" s="25"/>
      <c r="AJ166" s="25">
        <v>136.80000000000001</v>
      </c>
      <c r="AK166" s="25"/>
      <c r="AL166" s="25">
        <v>123.6</v>
      </c>
      <c r="AM166" s="25"/>
      <c r="AN166" s="25">
        <v>125.9</v>
      </c>
      <c r="AO166" s="25"/>
      <c r="AP166" s="25">
        <v>134.19999999999999</v>
      </c>
    </row>
    <row r="167" spans="1:42" hidden="1" x14ac:dyDescent="0.3">
      <c r="A167" s="25" t="s">
        <v>30</v>
      </c>
      <c r="B167" s="25">
        <v>2017</v>
      </c>
      <c r="C167" s="25" t="s">
        <v>41</v>
      </c>
      <c r="D167" s="26">
        <f>DATE(B167,MATCH(TRIM(C167),{"January","February","March","April","May","June","July","August","September","October","November","December"},0),1)</f>
        <v>42948</v>
      </c>
      <c r="E167" s="25">
        <v>134.80000000000001</v>
      </c>
      <c r="F167" s="25">
        <v>143.1</v>
      </c>
      <c r="G167" s="25">
        <v>130</v>
      </c>
      <c r="H167" s="25">
        <v>139.4</v>
      </c>
      <c r="I167" s="25">
        <v>120.5</v>
      </c>
      <c r="J167" s="25">
        <v>148</v>
      </c>
      <c r="K167" s="25">
        <v>162.9</v>
      </c>
      <c r="L167" s="25">
        <v>137.4</v>
      </c>
      <c r="M167" s="25">
        <v>120.8</v>
      </c>
      <c r="N167" s="25">
        <v>134.69999999999999</v>
      </c>
      <c r="O167" s="25">
        <v>131.6</v>
      </c>
      <c r="P167" s="25">
        <v>148.69999999999999</v>
      </c>
      <c r="Q167" s="25">
        <v>140.6</v>
      </c>
      <c r="R167" s="25"/>
      <c r="S167" s="25">
        <v>149</v>
      </c>
      <c r="T167" s="25"/>
      <c r="U167" s="25">
        <v>145.30000000000001</v>
      </c>
      <c r="V167" s="25">
        <v>139.19999999999999</v>
      </c>
      <c r="W167" s="25">
        <v>144.5</v>
      </c>
      <c r="X167" s="25"/>
      <c r="Y167" s="25" t="s">
        <v>32</v>
      </c>
      <c r="Z167" s="25">
        <v>136.4</v>
      </c>
      <c r="AA167" s="25"/>
      <c r="AB167" s="25">
        <v>137.30000000000001</v>
      </c>
      <c r="AC167" s="25"/>
      <c r="AD167" s="25">
        <v>133</v>
      </c>
      <c r="AE167" s="25"/>
      <c r="AF167" s="25">
        <v>120.3</v>
      </c>
      <c r="AG167" s="25"/>
      <c r="AH167" s="25">
        <v>131.5</v>
      </c>
      <c r="AI167" s="25"/>
      <c r="AJ167" s="25">
        <v>140.19999999999999</v>
      </c>
      <c r="AK167" s="25"/>
      <c r="AL167" s="25">
        <v>125.4</v>
      </c>
      <c r="AM167" s="25"/>
      <c r="AN167" s="25">
        <v>129.69999999999999</v>
      </c>
      <c r="AO167" s="25"/>
      <c r="AP167" s="25">
        <v>137.80000000000001</v>
      </c>
    </row>
    <row r="168" spans="1:42" hidden="1" x14ac:dyDescent="0.3">
      <c r="A168" s="25" t="s">
        <v>33</v>
      </c>
      <c r="B168" s="25">
        <v>2017</v>
      </c>
      <c r="C168" s="25" t="s">
        <v>41</v>
      </c>
      <c r="D168" s="26">
        <f>DATE(B168,MATCH(TRIM(C168),{"January","February","March","April","May","June","July","August","September","October","November","December"},0),1)</f>
        <v>42948</v>
      </c>
      <c r="E168" s="25">
        <v>133.19999999999999</v>
      </c>
      <c r="F168" s="25">
        <v>143.9</v>
      </c>
      <c r="G168" s="25">
        <v>128.30000000000001</v>
      </c>
      <c r="H168" s="25">
        <v>138.30000000000001</v>
      </c>
      <c r="I168" s="25">
        <v>114.1</v>
      </c>
      <c r="J168" s="25">
        <v>142.69999999999999</v>
      </c>
      <c r="K168" s="25">
        <v>179.8</v>
      </c>
      <c r="L168" s="25">
        <v>123.5</v>
      </c>
      <c r="M168" s="25">
        <v>122.1</v>
      </c>
      <c r="N168" s="25">
        <v>137.5</v>
      </c>
      <c r="O168" s="25">
        <v>124.6</v>
      </c>
      <c r="P168" s="25">
        <v>144.5</v>
      </c>
      <c r="Q168" s="25">
        <v>140.5</v>
      </c>
      <c r="R168" s="25"/>
      <c r="S168" s="25">
        <v>152.1</v>
      </c>
      <c r="T168" s="25"/>
      <c r="U168" s="25">
        <v>132.69999999999999</v>
      </c>
      <c r="V168" s="25">
        <v>124.3</v>
      </c>
      <c r="W168" s="25">
        <v>131.4</v>
      </c>
      <c r="X168" s="25"/>
      <c r="Y168" s="25">
        <v>134.4</v>
      </c>
      <c r="Z168" s="25">
        <v>118.9</v>
      </c>
      <c r="AA168" s="25"/>
      <c r="AB168" s="25">
        <v>127.7</v>
      </c>
      <c r="AC168" s="25"/>
      <c r="AD168" s="25">
        <v>125.7</v>
      </c>
      <c r="AE168" s="25"/>
      <c r="AF168" s="25">
        <v>114.6</v>
      </c>
      <c r="AG168" s="25"/>
      <c r="AH168" s="25">
        <v>124.1</v>
      </c>
      <c r="AI168" s="25"/>
      <c r="AJ168" s="25">
        <v>135.69999999999999</v>
      </c>
      <c r="AK168" s="25"/>
      <c r="AL168" s="25">
        <v>123.3</v>
      </c>
      <c r="AM168" s="25"/>
      <c r="AN168" s="25">
        <v>123.8</v>
      </c>
      <c r="AO168" s="25"/>
      <c r="AP168" s="25">
        <v>132.69999999999999</v>
      </c>
    </row>
    <row r="169" spans="1:42" hidden="1" x14ac:dyDescent="0.3">
      <c r="A169" s="25" t="s">
        <v>34</v>
      </c>
      <c r="B169" s="25">
        <v>2017</v>
      </c>
      <c r="C169" s="25" t="s">
        <v>41</v>
      </c>
      <c r="D169" s="26">
        <f>DATE(B169,MATCH(TRIM(C169),{"January","February","March","April","May","June","July","August","September","October","November","December"},0),1)</f>
        <v>42948</v>
      </c>
      <c r="E169" s="25">
        <v>134.30000000000001</v>
      </c>
      <c r="F169" s="25">
        <v>143.4</v>
      </c>
      <c r="G169" s="25">
        <v>129.30000000000001</v>
      </c>
      <c r="H169" s="25">
        <v>139</v>
      </c>
      <c r="I169" s="25">
        <v>118.1</v>
      </c>
      <c r="J169" s="25">
        <v>145.5</v>
      </c>
      <c r="K169" s="25">
        <v>168.6</v>
      </c>
      <c r="L169" s="25">
        <v>132.69999999999999</v>
      </c>
      <c r="M169" s="25">
        <v>121.2</v>
      </c>
      <c r="N169" s="25">
        <v>135.6</v>
      </c>
      <c r="O169" s="25">
        <v>128.69999999999999</v>
      </c>
      <c r="P169" s="25">
        <v>146.80000000000001</v>
      </c>
      <c r="Q169" s="25">
        <v>140.6</v>
      </c>
      <c r="R169" s="25"/>
      <c r="S169" s="25">
        <v>149.80000000000001</v>
      </c>
      <c r="T169" s="25"/>
      <c r="U169" s="25">
        <v>140.30000000000001</v>
      </c>
      <c r="V169" s="25">
        <v>133</v>
      </c>
      <c r="W169" s="25">
        <v>139.30000000000001</v>
      </c>
      <c r="X169" s="25"/>
      <c r="Y169" s="25">
        <v>134.4</v>
      </c>
      <c r="Z169" s="25">
        <v>129.80000000000001</v>
      </c>
      <c r="AA169" s="25"/>
      <c r="AB169" s="25">
        <v>132.80000000000001</v>
      </c>
      <c r="AC169" s="25"/>
      <c r="AD169" s="25">
        <v>130.19999999999999</v>
      </c>
      <c r="AE169" s="25"/>
      <c r="AF169" s="25">
        <v>117.3</v>
      </c>
      <c r="AG169" s="25"/>
      <c r="AH169" s="25">
        <v>127.3</v>
      </c>
      <c r="AI169" s="25"/>
      <c r="AJ169" s="25">
        <v>137.6</v>
      </c>
      <c r="AK169" s="25"/>
      <c r="AL169" s="25">
        <v>124.5</v>
      </c>
      <c r="AM169" s="25"/>
      <c r="AN169" s="25">
        <v>126.8</v>
      </c>
      <c r="AO169" s="25"/>
      <c r="AP169" s="25">
        <v>135.4</v>
      </c>
    </row>
    <row r="170" spans="1:42" hidden="1" x14ac:dyDescent="0.3">
      <c r="A170" s="25" t="s">
        <v>30</v>
      </c>
      <c r="B170" s="25">
        <v>2017</v>
      </c>
      <c r="C170" s="25" t="s">
        <v>42</v>
      </c>
      <c r="D170" s="26">
        <f>DATE(B170,MATCH(TRIM(C170),{"January","February","March","April","May","June","July","August","September","October","November","December"},0),1)</f>
        <v>42979</v>
      </c>
      <c r="E170" s="25">
        <v>135.19999999999999</v>
      </c>
      <c r="F170" s="25">
        <v>142</v>
      </c>
      <c r="G170" s="25">
        <v>130.5</v>
      </c>
      <c r="H170" s="25">
        <v>140.19999999999999</v>
      </c>
      <c r="I170" s="25">
        <v>120.7</v>
      </c>
      <c r="J170" s="25">
        <v>147.80000000000001</v>
      </c>
      <c r="K170" s="25">
        <v>154.5</v>
      </c>
      <c r="L170" s="25">
        <v>137.1</v>
      </c>
      <c r="M170" s="25">
        <v>121</v>
      </c>
      <c r="N170" s="25">
        <v>134.69999999999999</v>
      </c>
      <c r="O170" s="25">
        <v>131.69999999999999</v>
      </c>
      <c r="P170" s="25">
        <v>149.30000000000001</v>
      </c>
      <c r="Q170" s="25">
        <v>139.6</v>
      </c>
      <c r="R170" s="25"/>
      <c r="S170" s="25">
        <v>149.80000000000001</v>
      </c>
      <c r="T170" s="25"/>
      <c r="U170" s="25">
        <v>146.1</v>
      </c>
      <c r="V170" s="25">
        <v>139.69999999999999</v>
      </c>
      <c r="W170" s="25">
        <v>145.19999999999999</v>
      </c>
      <c r="X170" s="25"/>
      <c r="Y170" s="25" t="s">
        <v>32</v>
      </c>
      <c r="Z170" s="25">
        <v>137.4</v>
      </c>
      <c r="AA170" s="25"/>
      <c r="AB170" s="25">
        <v>137.9</v>
      </c>
      <c r="AC170" s="25"/>
      <c r="AD170" s="25">
        <v>133.4</v>
      </c>
      <c r="AE170" s="25"/>
      <c r="AF170" s="25">
        <v>121.2</v>
      </c>
      <c r="AG170" s="25"/>
      <c r="AH170" s="25">
        <v>132.30000000000001</v>
      </c>
      <c r="AI170" s="25"/>
      <c r="AJ170" s="25">
        <v>139.6</v>
      </c>
      <c r="AK170" s="25"/>
      <c r="AL170" s="25">
        <v>126.7</v>
      </c>
      <c r="AM170" s="25"/>
      <c r="AN170" s="25">
        <v>130.30000000000001</v>
      </c>
      <c r="AO170" s="25"/>
      <c r="AP170" s="25">
        <v>137.6</v>
      </c>
    </row>
    <row r="171" spans="1:42" hidden="1" x14ac:dyDescent="0.3">
      <c r="A171" s="25" t="s">
        <v>33</v>
      </c>
      <c r="B171" s="25">
        <v>2017</v>
      </c>
      <c r="C171" s="25" t="s">
        <v>42</v>
      </c>
      <c r="D171" s="26">
        <f>DATE(B171,MATCH(TRIM(C171),{"January","February","March","April","May","June","July","August","September","October","November","December"},0),1)</f>
        <v>42979</v>
      </c>
      <c r="E171" s="25">
        <v>133.6</v>
      </c>
      <c r="F171" s="25">
        <v>143</v>
      </c>
      <c r="G171" s="25">
        <v>129.69999999999999</v>
      </c>
      <c r="H171" s="25">
        <v>138.69999999999999</v>
      </c>
      <c r="I171" s="25">
        <v>114.5</v>
      </c>
      <c r="J171" s="25">
        <v>137.5</v>
      </c>
      <c r="K171" s="25">
        <v>160.69999999999999</v>
      </c>
      <c r="L171" s="25">
        <v>124.5</v>
      </c>
      <c r="M171" s="25">
        <v>122.4</v>
      </c>
      <c r="N171" s="25">
        <v>137.30000000000001</v>
      </c>
      <c r="O171" s="25">
        <v>124.8</v>
      </c>
      <c r="P171" s="25">
        <v>145</v>
      </c>
      <c r="Q171" s="25">
        <v>138</v>
      </c>
      <c r="R171" s="25"/>
      <c r="S171" s="25">
        <v>153.6</v>
      </c>
      <c r="T171" s="25"/>
      <c r="U171" s="25">
        <v>133.30000000000001</v>
      </c>
      <c r="V171" s="25">
        <v>124.6</v>
      </c>
      <c r="W171" s="25">
        <v>132</v>
      </c>
      <c r="X171" s="25"/>
      <c r="Y171" s="25">
        <v>135.69999999999999</v>
      </c>
      <c r="Z171" s="25">
        <v>120.6</v>
      </c>
      <c r="AA171" s="25"/>
      <c r="AB171" s="25">
        <v>128.1</v>
      </c>
      <c r="AC171" s="25"/>
      <c r="AD171" s="25">
        <v>126.1</v>
      </c>
      <c r="AE171" s="25"/>
      <c r="AF171" s="25">
        <v>115.7</v>
      </c>
      <c r="AG171" s="25"/>
      <c r="AH171" s="25">
        <v>124.5</v>
      </c>
      <c r="AI171" s="25"/>
      <c r="AJ171" s="25">
        <v>135.9</v>
      </c>
      <c r="AK171" s="25"/>
      <c r="AL171" s="25">
        <v>124.4</v>
      </c>
      <c r="AM171" s="25"/>
      <c r="AN171" s="25">
        <v>124.5</v>
      </c>
      <c r="AO171" s="25"/>
      <c r="AP171" s="25">
        <v>132.4</v>
      </c>
    </row>
    <row r="172" spans="1:42" hidden="1" x14ac:dyDescent="0.3">
      <c r="A172" s="25" t="s">
        <v>34</v>
      </c>
      <c r="B172" s="25">
        <v>2017</v>
      </c>
      <c r="C172" s="25" t="s">
        <v>42</v>
      </c>
      <c r="D172" s="26">
        <f>DATE(B172,MATCH(TRIM(C172),{"January","February","March","April","May","June","July","August","September","October","November","December"},0),1)</f>
        <v>42979</v>
      </c>
      <c r="E172" s="25">
        <v>134.69999999999999</v>
      </c>
      <c r="F172" s="25">
        <v>142.4</v>
      </c>
      <c r="G172" s="25">
        <v>130.19999999999999</v>
      </c>
      <c r="H172" s="25">
        <v>139.6</v>
      </c>
      <c r="I172" s="25">
        <v>118.4</v>
      </c>
      <c r="J172" s="25">
        <v>143</v>
      </c>
      <c r="K172" s="25">
        <v>156.6</v>
      </c>
      <c r="L172" s="25">
        <v>132.9</v>
      </c>
      <c r="M172" s="25">
        <v>121.5</v>
      </c>
      <c r="N172" s="25">
        <v>135.6</v>
      </c>
      <c r="O172" s="25">
        <v>128.80000000000001</v>
      </c>
      <c r="P172" s="25">
        <v>147.30000000000001</v>
      </c>
      <c r="Q172" s="25">
        <v>139</v>
      </c>
      <c r="R172" s="25"/>
      <c r="S172" s="25">
        <v>150.80000000000001</v>
      </c>
      <c r="T172" s="25"/>
      <c r="U172" s="25">
        <v>141.1</v>
      </c>
      <c r="V172" s="25">
        <v>133.4</v>
      </c>
      <c r="W172" s="25">
        <v>140</v>
      </c>
      <c r="X172" s="25"/>
      <c r="Y172" s="25">
        <v>135.69999999999999</v>
      </c>
      <c r="Z172" s="25">
        <v>131</v>
      </c>
      <c r="AA172" s="25"/>
      <c r="AB172" s="25">
        <v>133.30000000000001</v>
      </c>
      <c r="AC172" s="25"/>
      <c r="AD172" s="25">
        <v>130.6</v>
      </c>
      <c r="AE172" s="25"/>
      <c r="AF172" s="25">
        <v>118.3</v>
      </c>
      <c r="AG172" s="25"/>
      <c r="AH172" s="25">
        <v>127.9</v>
      </c>
      <c r="AI172" s="25"/>
      <c r="AJ172" s="25">
        <v>137.4</v>
      </c>
      <c r="AK172" s="25"/>
      <c r="AL172" s="25">
        <v>125.7</v>
      </c>
      <c r="AM172" s="25"/>
      <c r="AN172" s="25">
        <v>127.5</v>
      </c>
      <c r="AO172" s="25"/>
      <c r="AP172" s="25">
        <v>135.19999999999999</v>
      </c>
    </row>
    <row r="173" spans="1:42" hidden="1" x14ac:dyDescent="0.3">
      <c r="A173" s="25" t="s">
        <v>30</v>
      </c>
      <c r="B173" s="25">
        <v>2017</v>
      </c>
      <c r="C173" s="25" t="s">
        <v>43</v>
      </c>
      <c r="D173" s="26">
        <f>DATE(B173,MATCH(TRIM(C173),{"January","February","March","April","May","June","July","August","September","October","November","December"},0),1)</f>
        <v>43009</v>
      </c>
      <c r="E173" s="25">
        <v>135.9</v>
      </c>
      <c r="F173" s="25">
        <v>141.9</v>
      </c>
      <c r="G173" s="25">
        <v>131</v>
      </c>
      <c r="H173" s="25">
        <v>141.5</v>
      </c>
      <c r="I173" s="25">
        <v>121.4</v>
      </c>
      <c r="J173" s="25">
        <v>146.69999999999999</v>
      </c>
      <c r="K173" s="25">
        <v>157.1</v>
      </c>
      <c r="L173" s="25">
        <v>136.4</v>
      </c>
      <c r="M173" s="25">
        <v>121.4</v>
      </c>
      <c r="N173" s="25">
        <v>135.6</v>
      </c>
      <c r="O173" s="25">
        <v>131.30000000000001</v>
      </c>
      <c r="P173" s="25">
        <v>150.30000000000001</v>
      </c>
      <c r="Q173" s="25">
        <v>140.4</v>
      </c>
      <c r="R173" s="25"/>
      <c r="S173" s="25">
        <v>150.5</v>
      </c>
      <c r="T173" s="25"/>
      <c r="U173" s="25">
        <v>147.19999999999999</v>
      </c>
      <c r="V173" s="25">
        <v>140.6</v>
      </c>
      <c r="W173" s="25">
        <v>146.19999999999999</v>
      </c>
      <c r="X173" s="25"/>
      <c r="Y173" s="25" t="s">
        <v>32</v>
      </c>
      <c r="Z173" s="25">
        <v>138.1</v>
      </c>
      <c r="AA173" s="25"/>
      <c r="AB173" s="25">
        <v>138.4</v>
      </c>
      <c r="AC173" s="25"/>
      <c r="AD173" s="25">
        <v>134.19999999999999</v>
      </c>
      <c r="AE173" s="25"/>
      <c r="AF173" s="25">
        <v>121</v>
      </c>
      <c r="AG173" s="25"/>
      <c r="AH173" s="25">
        <v>133</v>
      </c>
      <c r="AI173" s="25"/>
      <c r="AJ173" s="25">
        <v>140.1</v>
      </c>
      <c r="AK173" s="25"/>
      <c r="AL173" s="25">
        <v>127.4</v>
      </c>
      <c r="AM173" s="25"/>
      <c r="AN173" s="25">
        <v>130.69999999999999</v>
      </c>
      <c r="AO173" s="25"/>
      <c r="AP173" s="25">
        <v>138.30000000000001</v>
      </c>
    </row>
    <row r="174" spans="1:42" hidden="1" x14ac:dyDescent="0.3">
      <c r="A174" s="25" t="s">
        <v>33</v>
      </c>
      <c r="B174" s="25">
        <v>2017</v>
      </c>
      <c r="C174" s="25" t="s">
        <v>43</v>
      </c>
      <c r="D174" s="26">
        <f>DATE(B174,MATCH(TRIM(C174),{"January","February","March","April","May","June","July","August","September","October","November","December"},0),1)</f>
        <v>43009</v>
      </c>
      <c r="E174" s="25">
        <v>133.9</v>
      </c>
      <c r="F174" s="25">
        <v>142.80000000000001</v>
      </c>
      <c r="G174" s="25">
        <v>131.4</v>
      </c>
      <c r="H174" s="25">
        <v>139.1</v>
      </c>
      <c r="I174" s="25">
        <v>114.9</v>
      </c>
      <c r="J174" s="25">
        <v>135.6</v>
      </c>
      <c r="K174" s="25">
        <v>173.2</v>
      </c>
      <c r="L174" s="25">
        <v>124.1</v>
      </c>
      <c r="M174" s="25">
        <v>122.6</v>
      </c>
      <c r="N174" s="25">
        <v>137.80000000000001</v>
      </c>
      <c r="O174" s="25">
        <v>125.1</v>
      </c>
      <c r="P174" s="25">
        <v>145.5</v>
      </c>
      <c r="Q174" s="25">
        <v>139.69999999999999</v>
      </c>
      <c r="R174" s="25"/>
      <c r="S174" s="25">
        <v>154.6</v>
      </c>
      <c r="T174" s="25"/>
      <c r="U174" s="25">
        <v>134</v>
      </c>
      <c r="V174" s="25">
        <v>124.9</v>
      </c>
      <c r="W174" s="25">
        <v>132.6</v>
      </c>
      <c r="X174" s="25"/>
      <c r="Y174" s="25">
        <v>137.30000000000001</v>
      </c>
      <c r="Z174" s="25">
        <v>122.6</v>
      </c>
      <c r="AA174" s="25"/>
      <c r="AB174" s="25">
        <v>128.30000000000001</v>
      </c>
      <c r="AC174" s="25"/>
      <c r="AD174" s="25">
        <v>126.6</v>
      </c>
      <c r="AE174" s="25"/>
      <c r="AF174" s="25">
        <v>115</v>
      </c>
      <c r="AG174" s="25"/>
      <c r="AH174" s="25">
        <v>124.8</v>
      </c>
      <c r="AI174" s="25"/>
      <c r="AJ174" s="25">
        <v>136.30000000000001</v>
      </c>
      <c r="AK174" s="25"/>
      <c r="AL174" s="25">
        <v>124.6</v>
      </c>
      <c r="AM174" s="25"/>
      <c r="AN174" s="25">
        <v>124.5</v>
      </c>
      <c r="AO174" s="25"/>
      <c r="AP174" s="25">
        <v>133.5</v>
      </c>
    </row>
    <row r="175" spans="1:42" hidden="1" x14ac:dyDescent="0.3">
      <c r="A175" s="25" t="s">
        <v>34</v>
      </c>
      <c r="B175" s="25">
        <v>2017</v>
      </c>
      <c r="C175" s="25" t="s">
        <v>43</v>
      </c>
      <c r="D175" s="26">
        <f>DATE(B175,MATCH(TRIM(C175),{"January","February","March","April","May","June","July","August","September","October","November","December"},0),1)</f>
        <v>43009</v>
      </c>
      <c r="E175" s="25">
        <v>135.30000000000001</v>
      </c>
      <c r="F175" s="25">
        <v>142.19999999999999</v>
      </c>
      <c r="G175" s="25">
        <v>131.19999999999999</v>
      </c>
      <c r="H175" s="25">
        <v>140.6</v>
      </c>
      <c r="I175" s="25">
        <v>119</v>
      </c>
      <c r="J175" s="25">
        <v>141.5</v>
      </c>
      <c r="K175" s="25">
        <v>162.6</v>
      </c>
      <c r="L175" s="25">
        <v>132.30000000000001</v>
      </c>
      <c r="M175" s="25">
        <v>121.8</v>
      </c>
      <c r="N175" s="25">
        <v>136.30000000000001</v>
      </c>
      <c r="O175" s="25">
        <v>128.69999999999999</v>
      </c>
      <c r="P175" s="25">
        <v>148.1</v>
      </c>
      <c r="Q175" s="25">
        <v>140.1</v>
      </c>
      <c r="R175" s="25"/>
      <c r="S175" s="25">
        <v>151.6</v>
      </c>
      <c r="T175" s="25"/>
      <c r="U175" s="25">
        <v>142</v>
      </c>
      <c r="V175" s="25">
        <v>134.1</v>
      </c>
      <c r="W175" s="25">
        <v>140.80000000000001</v>
      </c>
      <c r="X175" s="25"/>
      <c r="Y175" s="25">
        <v>137.30000000000001</v>
      </c>
      <c r="Z175" s="25">
        <v>132.19999999999999</v>
      </c>
      <c r="AA175" s="25"/>
      <c r="AB175" s="25">
        <v>133.6</v>
      </c>
      <c r="AC175" s="25"/>
      <c r="AD175" s="25">
        <v>131.30000000000001</v>
      </c>
      <c r="AE175" s="25"/>
      <c r="AF175" s="25">
        <v>117.8</v>
      </c>
      <c r="AG175" s="25"/>
      <c r="AH175" s="25">
        <v>128.4</v>
      </c>
      <c r="AI175" s="25"/>
      <c r="AJ175" s="25">
        <v>137.9</v>
      </c>
      <c r="AK175" s="25"/>
      <c r="AL175" s="25">
        <v>126.2</v>
      </c>
      <c r="AM175" s="25"/>
      <c r="AN175" s="25">
        <v>127.7</v>
      </c>
      <c r="AO175" s="25"/>
      <c r="AP175" s="25">
        <v>136.1</v>
      </c>
    </row>
    <row r="176" spans="1:42" hidden="1" x14ac:dyDescent="0.3">
      <c r="A176" s="25" t="s">
        <v>30</v>
      </c>
      <c r="B176" s="25">
        <v>2017</v>
      </c>
      <c r="C176" s="25" t="s">
        <v>45</v>
      </c>
      <c r="D176" s="26">
        <f>DATE(B176,MATCH(TRIM(C176),{"January","February","March","April","May","June","July","August","September","October","November","December"},0),1)</f>
        <v>43040</v>
      </c>
      <c r="E176" s="25">
        <v>136.30000000000001</v>
      </c>
      <c r="F176" s="25">
        <v>142.5</v>
      </c>
      <c r="G176" s="25">
        <v>140.5</v>
      </c>
      <c r="H176" s="25">
        <v>141.5</v>
      </c>
      <c r="I176" s="25">
        <v>121.6</v>
      </c>
      <c r="J176" s="25">
        <v>147.30000000000001</v>
      </c>
      <c r="K176" s="25">
        <v>168</v>
      </c>
      <c r="L176" s="25">
        <v>135.80000000000001</v>
      </c>
      <c r="M176" s="25">
        <v>122.5</v>
      </c>
      <c r="N176" s="25">
        <v>136</v>
      </c>
      <c r="O176" s="25">
        <v>131.9</v>
      </c>
      <c r="P176" s="25">
        <v>151.4</v>
      </c>
      <c r="Q176" s="25">
        <v>142.4</v>
      </c>
      <c r="R176" s="25"/>
      <c r="S176" s="25">
        <v>152.1</v>
      </c>
      <c r="T176" s="25"/>
      <c r="U176" s="25">
        <v>148.19999999999999</v>
      </c>
      <c r="V176" s="25">
        <v>141.5</v>
      </c>
      <c r="W176" s="25">
        <v>147.30000000000001</v>
      </c>
      <c r="X176" s="25"/>
      <c r="Y176" s="25" t="s">
        <v>32</v>
      </c>
      <c r="Z176" s="25">
        <v>141.1</v>
      </c>
      <c r="AA176" s="25"/>
      <c r="AB176" s="25">
        <v>139.4</v>
      </c>
      <c r="AC176" s="25"/>
      <c r="AD176" s="25">
        <v>135.80000000000001</v>
      </c>
      <c r="AE176" s="25"/>
      <c r="AF176" s="25">
        <v>121.6</v>
      </c>
      <c r="AG176" s="25"/>
      <c r="AH176" s="25">
        <v>133.69999999999999</v>
      </c>
      <c r="AI176" s="25"/>
      <c r="AJ176" s="25">
        <v>141.5</v>
      </c>
      <c r="AK176" s="25"/>
      <c r="AL176" s="25">
        <v>128.1</v>
      </c>
      <c r="AM176" s="25"/>
      <c r="AN176" s="25">
        <v>131.69999999999999</v>
      </c>
      <c r="AO176" s="25"/>
      <c r="AP176" s="25">
        <v>140</v>
      </c>
    </row>
    <row r="177" spans="1:42" hidden="1" x14ac:dyDescent="0.3">
      <c r="A177" s="25" t="s">
        <v>33</v>
      </c>
      <c r="B177" s="25">
        <v>2017</v>
      </c>
      <c r="C177" s="25" t="s">
        <v>45</v>
      </c>
      <c r="D177" s="26">
        <f>DATE(B177,MATCH(TRIM(C177),{"January","February","March","April","May","June","July","August","September","October","November","December"},0),1)</f>
        <v>43040</v>
      </c>
      <c r="E177" s="25">
        <v>134.30000000000001</v>
      </c>
      <c r="F177" s="25">
        <v>142.1</v>
      </c>
      <c r="G177" s="25">
        <v>146.69999999999999</v>
      </c>
      <c r="H177" s="25">
        <v>139.5</v>
      </c>
      <c r="I177" s="25">
        <v>115.2</v>
      </c>
      <c r="J177" s="25">
        <v>136.4</v>
      </c>
      <c r="K177" s="25">
        <v>185.2</v>
      </c>
      <c r="L177" s="25">
        <v>122.2</v>
      </c>
      <c r="M177" s="25">
        <v>123.9</v>
      </c>
      <c r="N177" s="25">
        <v>138.30000000000001</v>
      </c>
      <c r="O177" s="25">
        <v>125.4</v>
      </c>
      <c r="P177" s="25">
        <v>146</v>
      </c>
      <c r="Q177" s="25">
        <v>141.5</v>
      </c>
      <c r="R177" s="25"/>
      <c r="S177" s="25">
        <v>156.19999999999999</v>
      </c>
      <c r="T177" s="25"/>
      <c r="U177" s="25">
        <v>135</v>
      </c>
      <c r="V177" s="25">
        <v>125.4</v>
      </c>
      <c r="W177" s="25">
        <v>133.5</v>
      </c>
      <c r="X177" s="25"/>
      <c r="Y177" s="25">
        <v>138.6</v>
      </c>
      <c r="Z177" s="25">
        <v>125.7</v>
      </c>
      <c r="AA177" s="25"/>
      <c r="AB177" s="25">
        <v>128.80000000000001</v>
      </c>
      <c r="AC177" s="25"/>
      <c r="AD177" s="25">
        <v>127.4</v>
      </c>
      <c r="AE177" s="25"/>
      <c r="AF177" s="25">
        <v>115.3</v>
      </c>
      <c r="AG177" s="25"/>
      <c r="AH177" s="25">
        <v>125.1</v>
      </c>
      <c r="AI177" s="25"/>
      <c r="AJ177" s="25">
        <v>136.6</v>
      </c>
      <c r="AK177" s="25"/>
      <c r="AL177" s="25">
        <v>124.9</v>
      </c>
      <c r="AM177" s="25"/>
      <c r="AN177" s="25">
        <v>124.9</v>
      </c>
      <c r="AO177" s="25"/>
      <c r="AP177" s="25">
        <v>134.80000000000001</v>
      </c>
    </row>
    <row r="178" spans="1:42" hidden="1" x14ac:dyDescent="0.3">
      <c r="A178" s="25" t="s">
        <v>34</v>
      </c>
      <c r="B178" s="25">
        <v>2017</v>
      </c>
      <c r="C178" s="25" t="s">
        <v>45</v>
      </c>
      <c r="D178" s="26">
        <f>DATE(B178,MATCH(TRIM(C178),{"January","February","March","April","May","June","July","August","September","October","November","December"},0),1)</f>
        <v>43040</v>
      </c>
      <c r="E178" s="25">
        <v>135.69999999999999</v>
      </c>
      <c r="F178" s="25">
        <v>142.4</v>
      </c>
      <c r="G178" s="25">
        <v>142.9</v>
      </c>
      <c r="H178" s="25">
        <v>140.80000000000001</v>
      </c>
      <c r="I178" s="25">
        <v>119.2</v>
      </c>
      <c r="J178" s="25">
        <v>142.19999999999999</v>
      </c>
      <c r="K178" s="25">
        <v>173.8</v>
      </c>
      <c r="L178" s="25">
        <v>131.19999999999999</v>
      </c>
      <c r="M178" s="25">
        <v>123</v>
      </c>
      <c r="N178" s="25">
        <v>136.80000000000001</v>
      </c>
      <c r="O178" s="25">
        <v>129.19999999999999</v>
      </c>
      <c r="P178" s="25">
        <v>148.9</v>
      </c>
      <c r="Q178" s="25">
        <v>142.1</v>
      </c>
      <c r="R178" s="25"/>
      <c r="S178" s="25">
        <v>153.19999999999999</v>
      </c>
      <c r="T178" s="25"/>
      <c r="U178" s="25">
        <v>143</v>
      </c>
      <c r="V178" s="25">
        <v>134.80000000000001</v>
      </c>
      <c r="W178" s="25">
        <v>141.80000000000001</v>
      </c>
      <c r="X178" s="25"/>
      <c r="Y178" s="25">
        <v>138.6</v>
      </c>
      <c r="Z178" s="25">
        <v>135.30000000000001</v>
      </c>
      <c r="AA178" s="25"/>
      <c r="AB178" s="25">
        <v>134.4</v>
      </c>
      <c r="AC178" s="25"/>
      <c r="AD178" s="25">
        <v>132.6</v>
      </c>
      <c r="AE178" s="25"/>
      <c r="AF178" s="25">
        <v>118.3</v>
      </c>
      <c r="AG178" s="25"/>
      <c r="AH178" s="25">
        <v>128.9</v>
      </c>
      <c r="AI178" s="25"/>
      <c r="AJ178" s="25">
        <v>138.6</v>
      </c>
      <c r="AK178" s="25"/>
      <c r="AL178" s="25">
        <v>126.8</v>
      </c>
      <c r="AM178" s="25"/>
      <c r="AN178" s="25">
        <v>128.4</v>
      </c>
      <c r="AO178" s="25"/>
      <c r="AP178" s="25">
        <v>137.6</v>
      </c>
    </row>
    <row r="179" spans="1:42" hidden="1" x14ac:dyDescent="0.3">
      <c r="A179" s="25" t="s">
        <v>30</v>
      </c>
      <c r="B179" s="25">
        <v>2017</v>
      </c>
      <c r="C179" s="25" t="s">
        <v>46</v>
      </c>
      <c r="D179" s="26">
        <f>DATE(B179,MATCH(TRIM(C179),{"January","February","March","April","May","June","July","August","September","October","November","December"},0),1)</f>
        <v>43070</v>
      </c>
      <c r="E179" s="25">
        <v>136.4</v>
      </c>
      <c r="F179" s="25">
        <v>143.69999999999999</v>
      </c>
      <c r="G179" s="25">
        <v>144.80000000000001</v>
      </c>
      <c r="H179" s="25">
        <v>141.9</v>
      </c>
      <c r="I179" s="25">
        <v>123.1</v>
      </c>
      <c r="J179" s="25">
        <v>147.19999999999999</v>
      </c>
      <c r="K179" s="25">
        <v>161</v>
      </c>
      <c r="L179" s="25">
        <v>133.80000000000001</v>
      </c>
      <c r="M179" s="25">
        <v>121.9</v>
      </c>
      <c r="N179" s="25">
        <v>135.80000000000001</v>
      </c>
      <c r="O179" s="25">
        <v>131.1</v>
      </c>
      <c r="P179" s="25">
        <v>151.4</v>
      </c>
      <c r="Q179" s="25">
        <v>141.5</v>
      </c>
      <c r="R179" s="25"/>
      <c r="S179" s="25">
        <v>153.19999999999999</v>
      </c>
      <c r="T179" s="25"/>
      <c r="U179" s="25">
        <v>148</v>
      </c>
      <c r="V179" s="25">
        <v>141.9</v>
      </c>
      <c r="W179" s="25">
        <v>147.19999999999999</v>
      </c>
      <c r="X179" s="25"/>
      <c r="Y179" s="25" t="s">
        <v>32</v>
      </c>
      <c r="Z179" s="25">
        <v>142.6</v>
      </c>
      <c r="AA179" s="25"/>
      <c r="AB179" s="25">
        <v>139.5</v>
      </c>
      <c r="AC179" s="25"/>
      <c r="AD179" s="25">
        <v>136.1</v>
      </c>
      <c r="AE179" s="25"/>
      <c r="AF179" s="25">
        <v>122</v>
      </c>
      <c r="AG179" s="25"/>
      <c r="AH179" s="25">
        <v>133.4</v>
      </c>
      <c r="AI179" s="25"/>
      <c r="AJ179" s="25">
        <v>141.1</v>
      </c>
      <c r="AK179" s="25"/>
      <c r="AL179" s="25">
        <v>127.8</v>
      </c>
      <c r="AM179" s="25"/>
      <c r="AN179" s="25">
        <v>131.9</v>
      </c>
      <c r="AO179" s="25"/>
      <c r="AP179" s="25">
        <v>139.80000000000001</v>
      </c>
    </row>
    <row r="180" spans="1:42" hidden="1" x14ac:dyDescent="0.3">
      <c r="A180" s="25" t="s">
        <v>33</v>
      </c>
      <c r="B180" s="25">
        <v>2017</v>
      </c>
      <c r="C180" s="25" t="s">
        <v>46</v>
      </c>
      <c r="D180" s="26">
        <f>DATE(B180,MATCH(TRIM(C180),{"January","February","March","April","May","June","July","August","September","October","November","December"},0),1)</f>
        <v>43070</v>
      </c>
      <c r="E180" s="25">
        <v>134.4</v>
      </c>
      <c r="F180" s="25">
        <v>142.6</v>
      </c>
      <c r="G180" s="25">
        <v>145.9</v>
      </c>
      <c r="H180" s="25">
        <v>139.5</v>
      </c>
      <c r="I180" s="25">
        <v>115.9</v>
      </c>
      <c r="J180" s="25">
        <v>135</v>
      </c>
      <c r="K180" s="25">
        <v>163.19999999999999</v>
      </c>
      <c r="L180" s="25">
        <v>119.8</v>
      </c>
      <c r="M180" s="25">
        <v>120.7</v>
      </c>
      <c r="N180" s="25">
        <v>139.69999999999999</v>
      </c>
      <c r="O180" s="25">
        <v>125.7</v>
      </c>
      <c r="P180" s="25">
        <v>146.30000000000001</v>
      </c>
      <c r="Q180" s="25">
        <v>138.80000000000001</v>
      </c>
      <c r="R180" s="25"/>
      <c r="S180" s="25">
        <v>157</v>
      </c>
      <c r="T180" s="25"/>
      <c r="U180" s="25">
        <v>135.6</v>
      </c>
      <c r="V180" s="25">
        <v>125.6</v>
      </c>
      <c r="W180" s="25">
        <v>134</v>
      </c>
      <c r="X180" s="25"/>
      <c r="Y180" s="25">
        <v>139.1</v>
      </c>
      <c r="Z180" s="25">
        <v>126.8</v>
      </c>
      <c r="AA180" s="25"/>
      <c r="AB180" s="25">
        <v>129.30000000000001</v>
      </c>
      <c r="AC180" s="25"/>
      <c r="AD180" s="25">
        <v>128.19999999999999</v>
      </c>
      <c r="AE180" s="25"/>
      <c r="AF180" s="25">
        <v>115.3</v>
      </c>
      <c r="AG180" s="25"/>
      <c r="AH180" s="25">
        <v>125.6</v>
      </c>
      <c r="AI180" s="25"/>
      <c r="AJ180" s="25">
        <v>136.69999999999999</v>
      </c>
      <c r="AK180" s="25"/>
      <c r="AL180" s="25">
        <v>124.6</v>
      </c>
      <c r="AM180" s="25"/>
      <c r="AN180" s="25">
        <v>125.1</v>
      </c>
      <c r="AO180" s="25"/>
      <c r="AP180" s="25">
        <v>134.1</v>
      </c>
    </row>
    <row r="181" spans="1:42" hidden="1" x14ac:dyDescent="0.3">
      <c r="A181" s="25" t="s">
        <v>34</v>
      </c>
      <c r="B181" s="25">
        <v>2017</v>
      </c>
      <c r="C181" s="25" t="s">
        <v>46</v>
      </c>
      <c r="D181" s="26">
        <f>DATE(B181,MATCH(TRIM(C181),{"January","February","March","April","May","June","July","August","September","October","November","December"},0),1)</f>
        <v>43070</v>
      </c>
      <c r="E181" s="25">
        <v>135.80000000000001</v>
      </c>
      <c r="F181" s="25">
        <v>143.30000000000001</v>
      </c>
      <c r="G181" s="25">
        <v>145.19999999999999</v>
      </c>
      <c r="H181" s="25">
        <v>141</v>
      </c>
      <c r="I181" s="25">
        <v>120.5</v>
      </c>
      <c r="J181" s="25">
        <v>141.5</v>
      </c>
      <c r="K181" s="25">
        <v>161.69999999999999</v>
      </c>
      <c r="L181" s="25">
        <v>129.1</v>
      </c>
      <c r="M181" s="25">
        <v>121.5</v>
      </c>
      <c r="N181" s="25">
        <v>137.1</v>
      </c>
      <c r="O181" s="25">
        <v>128.80000000000001</v>
      </c>
      <c r="P181" s="25">
        <v>149</v>
      </c>
      <c r="Q181" s="25">
        <v>140.5</v>
      </c>
      <c r="R181" s="25"/>
      <c r="S181" s="25">
        <v>154.19999999999999</v>
      </c>
      <c r="T181" s="25"/>
      <c r="U181" s="25">
        <v>143.1</v>
      </c>
      <c r="V181" s="25">
        <v>135.1</v>
      </c>
      <c r="W181" s="25">
        <v>142</v>
      </c>
      <c r="X181" s="25"/>
      <c r="Y181" s="25">
        <v>139.1</v>
      </c>
      <c r="Z181" s="25">
        <v>136.6</v>
      </c>
      <c r="AA181" s="25"/>
      <c r="AB181" s="25">
        <v>134.69999999999999</v>
      </c>
      <c r="AC181" s="25"/>
      <c r="AD181" s="25">
        <v>133.1</v>
      </c>
      <c r="AE181" s="25"/>
      <c r="AF181" s="25">
        <v>118.5</v>
      </c>
      <c r="AG181" s="25"/>
      <c r="AH181" s="25">
        <v>129</v>
      </c>
      <c r="AI181" s="25"/>
      <c r="AJ181" s="25">
        <v>138.5</v>
      </c>
      <c r="AK181" s="25"/>
      <c r="AL181" s="25">
        <v>126.5</v>
      </c>
      <c r="AM181" s="25"/>
      <c r="AN181" s="25">
        <v>128.6</v>
      </c>
      <c r="AO181" s="25"/>
      <c r="AP181" s="25">
        <v>137.19999999999999</v>
      </c>
    </row>
    <row r="182" spans="1:42" hidden="1" x14ac:dyDescent="0.3">
      <c r="A182" s="25" t="s">
        <v>30</v>
      </c>
      <c r="B182" s="25">
        <v>2018</v>
      </c>
      <c r="C182" s="25" t="s">
        <v>31</v>
      </c>
      <c r="D182" s="26">
        <f>DATE(B182,MATCH(TRIM(C182),{"January","February","March","April","May","June","July","August","September","October","November","December"},0),1)</f>
        <v>43101</v>
      </c>
      <c r="E182" s="25">
        <v>136.6</v>
      </c>
      <c r="F182" s="25">
        <v>144.4</v>
      </c>
      <c r="G182" s="25">
        <v>143.80000000000001</v>
      </c>
      <c r="H182" s="25">
        <v>142</v>
      </c>
      <c r="I182" s="25">
        <v>123.2</v>
      </c>
      <c r="J182" s="25">
        <v>147.9</v>
      </c>
      <c r="K182" s="25">
        <v>152.1</v>
      </c>
      <c r="L182" s="25">
        <v>131.80000000000001</v>
      </c>
      <c r="M182" s="25">
        <v>119.5</v>
      </c>
      <c r="N182" s="25">
        <v>136</v>
      </c>
      <c r="O182" s="25">
        <v>131.19999999999999</v>
      </c>
      <c r="P182" s="25">
        <v>151.80000000000001</v>
      </c>
      <c r="Q182" s="25">
        <v>140.4</v>
      </c>
      <c r="R182" s="25"/>
      <c r="S182" s="25">
        <v>153.6</v>
      </c>
      <c r="T182" s="25"/>
      <c r="U182" s="25">
        <v>148.30000000000001</v>
      </c>
      <c r="V182" s="25">
        <v>142.30000000000001</v>
      </c>
      <c r="W182" s="25">
        <v>147.5</v>
      </c>
      <c r="X182" s="25"/>
      <c r="Y182" s="25" t="s">
        <v>32</v>
      </c>
      <c r="Z182" s="25">
        <v>142.30000000000001</v>
      </c>
      <c r="AA182" s="25"/>
      <c r="AB182" s="25">
        <v>139.80000000000001</v>
      </c>
      <c r="AC182" s="25"/>
      <c r="AD182" s="25">
        <v>136</v>
      </c>
      <c r="AE182" s="25"/>
      <c r="AF182" s="25">
        <v>122.7</v>
      </c>
      <c r="AG182" s="25"/>
      <c r="AH182" s="25">
        <v>134.30000000000001</v>
      </c>
      <c r="AI182" s="25"/>
      <c r="AJ182" s="25">
        <v>141.6</v>
      </c>
      <c r="AK182" s="25"/>
      <c r="AL182" s="25">
        <v>128.6</v>
      </c>
      <c r="AM182" s="25"/>
      <c r="AN182" s="25">
        <v>132.30000000000001</v>
      </c>
      <c r="AO182" s="25"/>
      <c r="AP182" s="25">
        <v>139.30000000000001</v>
      </c>
    </row>
    <row r="183" spans="1:42" hidden="1" x14ac:dyDescent="0.3">
      <c r="A183" s="25" t="s">
        <v>33</v>
      </c>
      <c r="B183" s="25">
        <v>2018</v>
      </c>
      <c r="C183" s="25" t="s">
        <v>31</v>
      </c>
      <c r="D183" s="26">
        <f>DATE(B183,MATCH(TRIM(C183),{"January","February","March","April","May","June","July","August","September","October","November","December"},0),1)</f>
        <v>43101</v>
      </c>
      <c r="E183" s="25">
        <v>134.6</v>
      </c>
      <c r="F183" s="25">
        <v>143.69999999999999</v>
      </c>
      <c r="G183" s="25">
        <v>143.6</v>
      </c>
      <c r="H183" s="25">
        <v>139.6</v>
      </c>
      <c r="I183" s="25">
        <v>116.4</v>
      </c>
      <c r="J183" s="25">
        <v>133.80000000000001</v>
      </c>
      <c r="K183" s="25">
        <v>150.5</v>
      </c>
      <c r="L183" s="25">
        <v>118.4</v>
      </c>
      <c r="M183" s="25">
        <v>117.3</v>
      </c>
      <c r="N183" s="25">
        <v>140.5</v>
      </c>
      <c r="O183" s="25">
        <v>125.9</v>
      </c>
      <c r="P183" s="25">
        <v>146.80000000000001</v>
      </c>
      <c r="Q183" s="25">
        <v>137.19999999999999</v>
      </c>
      <c r="R183" s="25"/>
      <c r="S183" s="25">
        <v>157.69999999999999</v>
      </c>
      <c r="T183" s="25"/>
      <c r="U183" s="25">
        <v>136</v>
      </c>
      <c r="V183" s="25">
        <v>125.9</v>
      </c>
      <c r="W183" s="25">
        <v>134.4</v>
      </c>
      <c r="X183" s="25"/>
      <c r="Y183" s="25">
        <v>140.4</v>
      </c>
      <c r="Z183" s="25">
        <v>127.3</v>
      </c>
      <c r="AA183" s="25"/>
      <c r="AB183" s="25">
        <v>129.5</v>
      </c>
      <c r="AC183" s="25"/>
      <c r="AD183" s="25">
        <v>129</v>
      </c>
      <c r="AE183" s="25"/>
      <c r="AF183" s="25">
        <v>116.3</v>
      </c>
      <c r="AG183" s="25"/>
      <c r="AH183" s="25">
        <v>126.2</v>
      </c>
      <c r="AI183" s="25"/>
      <c r="AJ183" s="25">
        <v>137.1</v>
      </c>
      <c r="AK183" s="25"/>
      <c r="AL183" s="25">
        <v>125.5</v>
      </c>
      <c r="AM183" s="25"/>
      <c r="AN183" s="25">
        <v>125.8</v>
      </c>
      <c r="AO183" s="25"/>
      <c r="AP183" s="25">
        <v>134.1</v>
      </c>
    </row>
    <row r="184" spans="1:42" hidden="1" x14ac:dyDescent="0.3">
      <c r="A184" s="25" t="s">
        <v>34</v>
      </c>
      <c r="B184" s="25">
        <v>2018</v>
      </c>
      <c r="C184" s="25" t="s">
        <v>31</v>
      </c>
      <c r="D184" s="26">
        <f>DATE(B184,MATCH(TRIM(C184),{"January","February","March","April","May","June","July","August","September","October","November","December"},0),1)</f>
        <v>43101</v>
      </c>
      <c r="E184" s="25">
        <v>136</v>
      </c>
      <c r="F184" s="25">
        <v>144.19999999999999</v>
      </c>
      <c r="G184" s="25">
        <v>143.69999999999999</v>
      </c>
      <c r="H184" s="25">
        <v>141.1</v>
      </c>
      <c r="I184" s="25">
        <v>120.7</v>
      </c>
      <c r="J184" s="25">
        <v>141.30000000000001</v>
      </c>
      <c r="K184" s="25">
        <v>151.6</v>
      </c>
      <c r="L184" s="25">
        <v>127.3</v>
      </c>
      <c r="M184" s="25">
        <v>118.8</v>
      </c>
      <c r="N184" s="25">
        <v>137.5</v>
      </c>
      <c r="O184" s="25">
        <v>129</v>
      </c>
      <c r="P184" s="25">
        <v>149.5</v>
      </c>
      <c r="Q184" s="25">
        <v>139.19999999999999</v>
      </c>
      <c r="R184" s="25"/>
      <c r="S184" s="25">
        <v>154.69999999999999</v>
      </c>
      <c r="T184" s="25"/>
      <c r="U184" s="25">
        <v>143.5</v>
      </c>
      <c r="V184" s="25">
        <v>135.5</v>
      </c>
      <c r="W184" s="25">
        <v>142.30000000000001</v>
      </c>
      <c r="X184" s="25"/>
      <c r="Y184" s="25">
        <v>140.4</v>
      </c>
      <c r="Z184" s="25">
        <v>136.6</v>
      </c>
      <c r="AA184" s="25"/>
      <c r="AB184" s="25">
        <v>134.9</v>
      </c>
      <c r="AC184" s="25"/>
      <c r="AD184" s="25">
        <v>133.30000000000001</v>
      </c>
      <c r="AE184" s="25"/>
      <c r="AF184" s="25">
        <v>119.3</v>
      </c>
      <c r="AG184" s="25"/>
      <c r="AH184" s="25">
        <v>129.69999999999999</v>
      </c>
      <c r="AI184" s="25"/>
      <c r="AJ184" s="25">
        <v>139</v>
      </c>
      <c r="AK184" s="25"/>
      <c r="AL184" s="25">
        <v>127.3</v>
      </c>
      <c r="AM184" s="25"/>
      <c r="AN184" s="25">
        <v>129.1</v>
      </c>
      <c r="AO184" s="25"/>
      <c r="AP184" s="25">
        <v>136.9</v>
      </c>
    </row>
    <row r="185" spans="1:42" hidden="1" x14ac:dyDescent="0.3">
      <c r="A185" s="25" t="s">
        <v>30</v>
      </c>
      <c r="B185" s="25">
        <v>2018</v>
      </c>
      <c r="C185" s="25" t="s">
        <v>35</v>
      </c>
      <c r="D185" s="26">
        <f>DATE(B185,MATCH(TRIM(C185),{"January","February","March","April","May","June","July","August","September","October","November","December"},0),1)</f>
        <v>43132</v>
      </c>
      <c r="E185" s="25">
        <v>136.4</v>
      </c>
      <c r="F185" s="25">
        <v>143.69999999999999</v>
      </c>
      <c r="G185" s="25">
        <v>140.6</v>
      </c>
      <c r="H185" s="25">
        <v>141.5</v>
      </c>
      <c r="I185" s="25">
        <v>122.9</v>
      </c>
      <c r="J185" s="25">
        <v>149.4</v>
      </c>
      <c r="K185" s="25">
        <v>142.4</v>
      </c>
      <c r="L185" s="25">
        <v>130.19999999999999</v>
      </c>
      <c r="M185" s="25">
        <v>117.9</v>
      </c>
      <c r="N185" s="25">
        <v>135.6</v>
      </c>
      <c r="O185" s="25">
        <v>130.5</v>
      </c>
      <c r="P185" s="25">
        <v>151.69999999999999</v>
      </c>
      <c r="Q185" s="25">
        <v>138.69999999999999</v>
      </c>
      <c r="R185" s="25"/>
      <c r="S185" s="25">
        <v>153.30000000000001</v>
      </c>
      <c r="T185" s="25"/>
      <c r="U185" s="25">
        <v>148.69999999999999</v>
      </c>
      <c r="V185" s="25">
        <v>142.4</v>
      </c>
      <c r="W185" s="25">
        <v>147.80000000000001</v>
      </c>
      <c r="X185" s="25"/>
      <c r="Y185" s="25" t="s">
        <v>32</v>
      </c>
      <c r="Z185" s="25">
        <v>142.4</v>
      </c>
      <c r="AA185" s="25"/>
      <c r="AB185" s="25">
        <v>139.9</v>
      </c>
      <c r="AC185" s="25"/>
      <c r="AD185" s="25">
        <v>136.19999999999999</v>
      </c>
      <c r="AE185" s="25"/>
      <c r="AF185" s="25">
        <v>123.3</v>
      </c>
      <c r="AG185" s="25"/>
      <c r="AH185" s="25">
        <v>134.30000000000001</v>
      </c>
      <c r="AI185" s="25"/>
      <c r="AJ185" s="25">
        <v>141.5</v>
      </c>
      <c r="AK185" s="25"/>
      <c r="AL185" s="25">
        <v>128.80000000000001</v>
      </c>
      <c r="AM185" s="25"/>
      <c r="AN185" s="25">
        <v>132.5</v>
      </c>
      <c r="AO185" s="25"/>
      <c r="AP185" s="25">
        <v>138.5</v>
      </c>
    </row>
    <row r="186" spans="1:42" hidden="1" x14ac:dyDescent="0.3">
      <c r="A186" s="25" t="s">
        <v>33</v>
      </c>
      <c r="B186" s="25">
        <v>2018</v>
      </c>
      <c r="C186" s="25" t="s">
        <v>35</v>
      </c>
      <c r="D186" s="26">
        <f>DATE(B186,MATCH(TRIM(C186),{"January","February","March","April","May","June","July","August","September","October","November","December"},0),1)</f>
        <v>43132</v>
      </c>
      <c r="E186" s="25">
        <v>134.80000000000001</v>
      </c>
      <c r="F186" s="25">
        <v>143</v>
      </c>
      <c r="G186" s="25">
        <v>139.9</v>
      </c>
      <c r="H186" s="25">
        <v>139.9</v>
      </c>
      <c r="I186" s="25">
        <v>116.2</v>
      </c>
      <c r="J186" s="25">
        <v>135.5</v>
      </c>
      <c r="K186" s="25">
        <v>136.9</v>
      </c>
      <c r="L186" s="25">
        <v>117</v>
      </c>
      <c r="M186" s="25">
        <v>115.4</v>
      </c>
      <c r="N186" s="25">
        <v>140.69999999999999</v>
      </c>
      <c r="O186" s="25">
        <v>125.9</v>
      </c>
      <c r="P186" s="25">
        <v>147.1</v>
      </c>
      <c r="Q186" s="25">
        <v>135.6</v>
      </c>
      <c r="R186" s="25"/>
      <c r="S186" s="25">
        <v>159.30000000000001</v>
      </c>
      <c r="T186" s="25"/>
      <c r="U186" s="25">
        <v>136.30000000000001</v>
      </c>
      <c r="V186" s="25">
        <v>126.1</v>
      </c>
      <c r="W186" s="25">
        <v>134.69999999999999</v>
      </c>
      <c r="X186" s="25"/>
      <c r="Y186" s="25">
        <v>141.30000000000001</v>
      </c>
      <c r="Z186" s="25">
        <v>127.3</v>
      </c>
      <c r="AA186" s="25"/>
      <c r="AB186" s="25">
        <v>129.9</v>
      </c>
      <c r="AC186" s="25"/>
      <c r="AD186" s="25">
        <v>129.80000000000001</v>
      </c>
      <c r="AE186" s="25"/>
      <c r="AF186" s="25">
        <v>117.4</v>
      </c>
      <c r="AG186" s="25"/>
      <c r="AH186" s="25">
        <v>126.5</v>
      </c>
      <c r="AI186" s="25"/>
      <c r="AJ186" s="25">
        <v>137.19999999999999</v>
      </c>
      <c r="AK186" s="25"/>
      <c r="AL186" s="25">
        <v>126.2</v>
      </c>
      <c r="AM186" s="25"/>
      <c r="AN186" s="25">
        <v>126.5</v>
      </c>
      <c r="AO186" s="25"/>
      <c r="AP186" s="25">
        <v>134</v>
      </c>
    </row>
    <row r="187" spans="1:42" hidden="1" x14ac:dyDescent="0.3">
      <c r="A187" s="25" t="s">
        <v>34</v>
      </c>
      <c r="B187" s="25">
        <v>2018</v>
      </c>
      <c r="C187" s="25" t="s">
        <v>35</v>
      </c>
      <c r="D187" s="26">
        <f>DATE(B187,MATCH(TRIM(C187),{"January","February","March","April","May","June","July","August","September","October","November","December"},0),1)</f>
        <v>43132</v>
      </c>
      <c r="E187" s="25">
        <v>135.9</v>
      </c>
      <c r="F187" s="25">
        <v>143.5</v>
      </c>
      <c r="G187" s="25">
        <v>140.30000000000001</v>
      </c>
      <c r="H187" s="25">
        <v>140.9</v>
      </c>
      <c r="I187" s="25">
        <v>120.4</v>
      </c>
      <c r="J187" s="25">
        <v>142.9</v>
      </c>
      <c r="K187" s="25">
        <v>140.5</v>
      </c>
      <c r="L187" s="25">
        <v>125.8</v>
      </c>
      <c r="M187" s="25">
        <v>117.1</v>
      </c>
      <c r="N187" s="25">
        <v>137.30000000000001</v>
      </c>
      <c r="O187" s="25">
        <v>128.6</v>
      </c>
      <c r="P187" s="25">
        <v>149.6</v>
      </c>
      <c r="Q187" s="25">
        <v>137.6</v>
      </c>
      <c r="R187" s="25"/>
      <c r="S187" s="25">
        <v>154.9</v>
      </c>
      <c r="T187" s="25"/>
      <c r="U187" s="25">
        <v>143.80000000000001</v>
      </c>
      <c r="V187" s="25">
        <v>135.6</v>
      </c>
      <c r="W187" s="25">
        <v>142.6</v>
      </c>
      <c r="X187" s="25"/>
      <c r="Y187" s="25">
        <v>141.30000000000001</v>
      </c>
      <c r="Z187" s="25">
        <v>136.69999999999999</v>
      </c>
      <c r="AA187" s="25"/>
      <c r="AB187" s="25">
        <v>135.19999999999999</v>
      </c>
      <c r="AC187" s="25"/>
      <c r="AD187" s="25">
        <v>133.80000000000001</v>
      </c>
      <c r="AE187" s="25"/>
      <c r="AF187" s="25">
        <v>120.2</v>
      </c>
      <c r="AG187" s="25"/>
      <c r="AH187" s="25">
        <v>129.9</v>
      </c>
      <c r="AI187" s="25"/>
      <c r="AJ187" s="25">
        <v>139</v>
      </c>
      <c r="AK187" s="25"/>
      <c r="AL187" s="25">
        <v>127.7</v>
      </c>
      <c r="AM187" s="25"/>
      <c r="AN187" s="25">
        <v>129.6</v>
      </c>
      <c r="AO187" s="25"/>
      <c r="AP187" s="25">
        <v>136.4</v>
      </c>
    </row>
    <row r="188" spans="1:42" hidden="1" x14ac:dyDescent="0.3">
      <c r="A188" s="25" t="s">
        <v>30</v>
      </c>
      <c r="B188" s="25">
        <v>2018</v>
      </c>
      <c r="C188" s="25" t="s">
        <v>36</v>
      </c>
      <c r="D188" s="26">
        <f>DATE(B188,MATCH(TRIM(C188),{"January","February","March","April","May","June","July","August","September","October","November","December"},0),1)</f>
        <v>43160</v>
      </c>
      <c r="E188" s="25">
        <v>136.80000000000001</v>
      </c>
      <c r="F188" s="25">
        <v>143.80000000000001</v>
      </c>
      <c r="G188" s="25">
        <v>140</v>
      </c>
      <c r="H188" s="25">
        <v>142</v>
      </c>
      <c r="I188" s="25">
        <v>123.2</v>
      </c>
      <c r="J188" s="25">
        <v>152.9</v>
      </c>
      <c r="K188" s="25">
        <v>138</v>
      </c>
      <c r="L188" s="25">
        <v>129.30000000000001</v>
      </c>
      <c r="M188" s="25">
        <v>117.1</v>
      </c>
      <c r="N188" s="25">
        <v>136.30000000000001</v>
      </c>
      <c r="O188" s="25">
        <v>131.19999999999999</v>
      </c>
      <c r="P188" s="25">
        <v>152.80000000000001</v>
      </c>
      <c r="Q188" s="25">
        <v>138.6</v>
      </c>
      <c r="R188" s="25"/>
      <c r="S188" s="25">
        <v>155.1</v>
      </c>
      <c r="T188" s="25"/>
      <c r="U188" s="25">
        <v>149.19999999999999</v>
      </c>
      <c r="V188" s="25">
        <v>143</v>
      </c>
      <c r="W188" s="25">
        <v>148.30000000000001</v>
      </c>
      <c r="X188" s="25"/>
      <c r="Y188" s="25" t="s">
        <v>32</v>
      </c>
      <c r="Z188" s="25">
        <v>142.6</v>
      </c>
      <c r="AA188" s="25"/>
      <c r="AB188" s="25">
        <v>139.9</v>
      </c>
      <c r="AC188" s="25"/>
      <c r="AD188" s="25">
        <v>136.69999999999999</v>
      </c>
      <c r="AE188" s="25"/>
      <c r="AF188" s="25">
        <v>124.6</v>
      </c>
      <c r="AG188" s="25"/>
      <c r="AH188" s="25">
        <v>135.1</v>
      </c>
      <c r="AI188" s="25"/>
      <c r="AJ188" s="25">
        <v>142.69999999999999</v>
      </c>
      <c r="AK188" s="25"/>
      <c r="AL188" s="25">
        <v>129.30000000000001</v>
      </c>
      <c r="AM188" s="25"/>
      <c r="AN188" s="25">
        <v>133.30000000000001</v>
      </c>
      <c r="AO188" s="25"/>
      <c r="AP188" s="25">
        <v>138.69999999999999</v>
      </c>
    </row>
    <row r="189" spans="1:42" hidden="1" x14ac:dyDescent="0.3">
      <c r="A189" s="25" t="s">
        <v>33</v>
      </c>
      <c r="B189" s="25">
        <v>2018</v>
      </c>
      <c r="C189" s="25" t="s">
        <v>36</v>
      </c>
      <c r="D189" s="26">
        <f>DATE(B189,MATCH(TRIM(C189),{"January","February","March","April","May","June","July","August","September","October","November","December"},0),1)</f>
        <v>43160</v>
      </c>
      <c r="E189" s="25">
        <v>135</v>
      </c>
      <c r="F189" s="25">
        <v>143.1</v>
      </c>
      <c r="G189" s="25">
        <v>135.5</v>
      </c>
      <c r="H189" s="25">
        <v>139.9</v>
      </c>
      <c r="I189" s="25">
        <v>116.5</v>
      </c>
      <c r="J189" s="25">
        <v>138.5</v>
      </c>
      <c r="K189" s="25">
        <v>128</v>
      </c>
      <c r="L189" s="25">
        <v>115.5</v>
      </c>
      <c r="M189" s="25">
        <v>114.2</v>
      </c>
      <c r="N189" s="25">
        <v>140.69999999999999</v>
      </c>
      <c r="O189" s="25">
        <v>126.2</v>
      </c>
      <c r="P189" s="25">
        <v>147.6</v>
      </c>
      <c r="Q189" s="25">
        <v>134.80000000000001</v>
      </c>
      <c r="R189" s="25"/>
      <c r="S189" s="25">
        <v>159.69999999999999</v>
      </c>
      <c r="T189" s="25"/>
      <c r="U189" s="25">
        <v>136.69999999999999</v>
      </c>
      <c r="V189" s="25">
        <v>126.7</v>
      </c>
      <c r="W189" s="25">
        <v>135.19999999999999</v>
      </c>
      <c r="X189" s="25"/>
      <c r="Y189" s="25">
        <v>142</v>
      </c>
      <c r="Z189" s="25">
        <v>126.4</v>
      </c>
      <c r="AA189" s="25"/>
      <c r="AB189" s="25">
        <v>130.80000000000001</v>
      </c>
      <c r="AC189" s="25"/>
      <c r="AD189" s="25">
        <v>130.5</v>
      </c>
      <c r="AE189" s="25"/>
      <c r="AF189" s="25">
        <v>117.8</v>
      </c>
      <c r="AG189" s="25"/>
      <c r="AH189" s="25">
        <v>126.8</v>
      </c>
      <c r="AI189" s="25"/>
      <c r="AJ189" s="25">
        <v>137.80000000000001</v>
      </c>
      <c r="AK189" s="25"/>
      <c r="AL189" s="25">
        <v>126.7</v>
      </c>
      <c r="AM189" s="25"/>
      <c r="AN189" s="25">
        <v>127.1</v>
      </c>
      <c r="AO189" s="25"/>
      <c r="AP189" s="25">
        <v>134</v>
      </c>
    </row>
    <row r="190" spans="1:42" hidden="1" x14ac:dyDescent="0.3">
      <c r="A190" s="25" t="s">
        <v>34</v>
      </c>
      <c r="B190" s="25">
        <v>2018</v>
      </c>
      <c r="C190" s="25" t="s">
        <v>36</v>
      </c>
      <c r="D190" s="26">
        <f>DATE(B190,MATCH(TRIM(C190),{"January","February","March","April","May","June","July","August","September","October","November","December"},0),1)</f>
        <v>43160</v>
      </c>
      <c r="E190" s="25">
        <v>136.19999999999999</v>
      </c>
      <c r="F190" s="25">
        <v>143.6</v>
      </c>
      <c r="G190" s="25">
        <v>138.30000000000001</v>
      </c>
      <c r="H190" s="25">
        <v>141.19999999999999</v>
      </c>
      <c r="I190" s="25">
        <v>120.7</v>
      </c>
      <c r="J190" s="25">
        <v>146.19999999999999</v>
      </c>
      <c r="K190" s="25">
        <v>134.6</v>
      </c>
      <c r="L190" s="25">
        <v>124.6</v>
      </c>
      <c r="M190" s="25">
        <v>116.1</v>
      </c>
      <c r="N190" s="25">
        <v>137.80000000000001</v>
      </c>
      <c r="O190" s="25">
        <v>129.1</v>
      </c>
      <c r="P190" s="25">
        <v>150.4</v>
      </c>
      <c r="Q190" s="25">
        <v>137.19999999999999</v>
      </c>
      <c r="R190" s="25"/>
      <c r="S190" s="25">
        <v>156.30000000000001</v>
      </c>
      <c r="T190" s="25"/>
      <c r="U190" s="25">
        <v>144.30000000000001</v>
      </c>
      <c r="V190" s="25">
        <v>136.19999999999999</v>
      </c>
      <c r="W190" s="25">
        <v>143.1</v>
      </c>
      <c r="X190" s="25"/>
      <c r="Y190" s="25">
        <v>142</v>
      </c>
      <c r="Z190" s="25">
        <v>136.5</v>
      </c>
      <c r="AA190" s="25"/>
      <c r="AB190" s="25">
        <v>135.6</v>
      </c>
      <c r="AC190" s="25"/>
      <c r="AD190" s="25">
        <v>134.30000000000001</v>
      </c>
      <c r="AE190" s="25"/>
      <c r="AF190" s="25">
        <v>121</v>
      </c>
      <c r="AG190" s="25"/>
      <c r="AH190" s="25">
        <v>130.4</v>
      </c>
      <c r="AI190" s="25"/>
      <c r="AJ190" s="25">
        <v>139.80000000000001</v>
      </c>
      <c r="AK190" s="25"/>
      <c r="AL190" s="25">
        <v>128.19999999999999</v>
      </c>
      <c r="AM190" s="25"/>
      <c r="AN190" s="25">
        <v>130.30000000000001</v>
      </c>
      <c r="AO190" s="25"/>
      <c r="AP190" s="25">
        <v>136.5</v>
      </c>
    </row>
    <row r="191" spans="1:42" hidden="1" x14ac:dyDescent="0.3">
      <c r="A191" s="25" t="s">
        <v>30</v>
      </c>
      <c r="B191" s="25">
        <v>2018</v>
      </c>
      <c r="C191" s="25" t="s">
        <v>37</v>
      </c>
      <c r="D191" s="26">
        <f>DATE(B191,MATCH(TRIM(C191),{"January","February","March","April","May","June","July","August","September","October","November","December"},0),1)</f>
        <v>43191</v>
      </c>
      <c r="E191" s="25">
        <v>137.1</v>
      </c>
      <c r="F191" s="25">
        <v>144.5</v>
      </c>
      <c r="G191" s="25">
        <v>135.9</v>
      </c>
      <c r="H191" s="25">
        <v>142.4</v>
      </c>
      <c r="I191" s="25">
        <v>123.5</v>
      </c>
      <c r="J191" s="25">
        <v>156.4</v>
      </c>
      <c r="K191" s="25">
        <v>135.1</v>
      </c>
      <c r="L191" s="25">
        <v>128.4</v>
      </c>
      <c r="M191" s="25">
        <v>115.2</v>
      </c>
      <c r="N191" s="25">
        <v>137.19999999999999</v>
      </c>
      <c r="O191" s="25">
        <v>131.9</v>
      </c>
      <c r="P191" s="25">
        <v>153.80000000000001</v>
      </c>
      <c r="Q191" s="25">
        <v>138.6</v>
      </c>
      <c r="R191" s="25"/>
      <c r="S191" s="25">
        <v>156.1</v>
      </c>
      <c r="T191" s="25"/>
      <c r="U191" s="25">
        <v>150.1</v>
      </c>
      <c r="V191" s="25">
        <v>143.30000000000001</v>
      </c>
      <c r="W191" s="25">
        <v>149.1</v>
      </c>
      <c r="X191" s="25"/>
      <c r="Y191" s="25" t="s">
        <v>32</v>
      </c>
      <c r="Z191" s="25">
        <v>143.80000000000001</v>
      </c>
      <c r="AA191" s="25"/>
      <c r="AB191" s="25">
        <v>140.9</v>
      </c>
      <c r="AC191" s="25"/>
      <c r="AD191" s="25">
        <v>137.6</v>
      </c>
      <c r="AE191" s="25"/>
      <c r="AF191" s="25">
        <v>125.3</v>
      </c>
      <c r="AG191" s="25"/>
      <c r="AH191" s="25">
        <v>136</v>
      </c>
      <c r="AI191" s="25"/>
      <c r="AJ191" s="25">
        <v>143.69999999999999</v>
      </c>
      <c r="AK191" s="25"/>
      <c r="AL191" s="25">
        <v>130.4</v>
      </c>
      <c r="AM191" s="25"/>
      <c r="AN191" s="25">
        <v>134.19999999999999</v>
      </c>
      <c r="AO191" s="25"/>
      <c r="AP191" s="25">
        <v>139.1</v>
      </c>
    </row>
    <row r="192" spans="1:42" hidden="1" x14ac:dyDescent="0.3">
      <c r="A192" s="25" t="s">
        <v>33</v>
      </c>
      <c r="B192" s="25">
        <v>2018</v>
      </c>
      <c r="C192" s="25" t="s">
        <v>37</v>
      </c>
      <c r="D192" s="26">
        <f>DATE(B192,MATCH(TRIM(C192),{"January","February","March","April","May","June","July","August","September","October","November","December"},0),1)</f>
        <v>43191</v>
      </c>
      <c r="E192" s="25">
        <v>135</v>
      </c>
      <c r="F192" s="25">
        <v>144.30000000000001</v>
      </c>
      <c r="G192" s="25">
        <v>130.80000000000001</v>
      </c>
      <c r="H192" s="25">
        <v>140.30000000000001</v>
      </c>
      <c r="I192" s="25">
        <v>116.6</v>
      </c>
      <c r="J192" s="25">
        <v>150.1</v>
      </c>
      <c r="K192" s="25">
        <v>127.6</v>
      </c>
      <c r="L192" s="25">
        <v>114</v>
      </c>
      <c r="M192" s="25">
        <v>110.6</v>
      </c>
      <c r="N192" s="25">
        <v>140.19999999999999</v>
      </c>
      <c r="O192" s="25">
        <v>126.5</v>
      </c>
      <c r="P192" s="25">
        <v>148.30000000000001</v>
      </c>
      <c r="Q192" s="25">
        <v>135.69999999999999</v>
      </c>
      <c r="R192" s="25"/>
      <c r="S192" s="25">
        <v>159.19999999999999</v>
      </c>
      <c r="T192" s="25"/>
      <c r="U192" s="25">
        <v>137.80000000000001</v>
      </c>
      <c r="V192" s="25">
        <v>127.4</v>
      </c>
      <c r="W192" s="25">
        <v>136.19999999999999</v>
      </c>
      <c r="X192" s="25"/>
      <c r="Y192" s="25">
        <v>142.9</v>
      </c>
      <c r="Z192" s="25">
        <v>124.6</v>
      </c>
      <c r="AA192" s="25"/>
      <c r="AB192" s="25">
        <v>131.80000000000001</v>
      </c>
      <c r="AC192" s="25"/>
      <c r="AD192" s="25">
        <v>131.30000000000001</v>
      </c>
      <c r="AE192" s="25"/>
      <c r="AF192" s="25">
        <v>118.9</v>
      </c>
      <c r="AG192" s="25"/>
      <c r="AH192" s="25">
        <v>127.6</v>
      </c>
      <c r="AI192" s="25"/>
      <c r="AJ192" s="25">
        <v>139.69999999999999</v>
      </c>
      <c r="AK192" s="25"/>
      <c r="AL192" s="25">
        <v>127.6</v>
      </c>
      <c r="AM192" s="25"/>
      <c r="AN192" s="25">
        <v>128.19999999999999</v>
      </c>
      <c r="AO192" s="25"/>
      <c r="AP192" s="25">
        <v>134.80000000000001</v>
      </c>
    </row>
    <row r="193" spans="1:42" hidden="1" x14ac:dyDescent="0.3">
      <c r="A193" s="25" t="s">
        <v>34</v>
      </c>
      <c r="B193" s="25">
        <v>2018</v>
      </c>
      <c r="C193" s="25" t="s">
        <v>37</v>
      </c>
      <c r="D193" s="26">
        <f>DATE(B193,MATCH(TRIM(C193),{"January","February","March","April","May","June","July","August","September","October","November","December"},0),1)</f>
        <v>43191</v>
      </c>
      <c r="E193" s="25">
        <v>136.4</v>
      </c>
      <c r="F193" s="25">
        <v>144.4</v>
      </c>
      <c r="G193" s="25">
        <v>133.9</v>
      </c>
      <c r="H193" s="25">
        <v>141.6</v>
      </c>
      <c r="I193" s="25">
        <v>121</v>
      </c>
      <c r="J193" s="25">
        <v>153.5</v>
      </c>
      <c r="K193" s="25">
        <v>132.6</v>
      </c>
      <c r="L193" s="25">
        <v>123.5</v>
      </c>
      <c r="M193" s="25">
        <v>113.7</v>
      </c>
      <c r="N193" s="25">
        <v>138.19999999999999</v>
      </c>
      <c r="O193" s="25">
        <v>129.6</v>
      </c>
      <c r="P193" s="25">
        <v>151.19999999999999</v>
      </c>
      <c r="Q193" s="25">
        <v>137.5</v>
      </c>
      <c r="R193" s="25"/>
      <c r="S193" s="25">
        <v>156.9</v>
      </c>
      <c r="T193" s="25"/>
      <c r="U193" s="25">
        <v>145.30000000000001</v>
      </c>
      <c r="V193" s="25">
        <v>136.69999999999999</v>
      </c>
      <c r="W193" s="25">
        <v>144</v>
      </c>
      <c r="X193" s="25"/>
      <c r="Y193" s="25">
        <v>142.9</v>
      </c>
      <c r="Z193" s="25">
        <v>136.5</v>
      </c>
      <c r="AA193" s="25"/>
      <c r="AB193" s="25">
        <v>136.6</v>
      </c>
      <c r="AC193" s="25"/>
      <c r="AD193" s="25">
        <v>135.19999999999999</v>
      </c>
      <c r="AE193" s="25"/>
      <c r="AF193" s="25">
        <v>121.9</v>
      </c>
      <c r="AG193" s="25"/>
      <c r="AH193" s="25">
        <v>131.30000000000001</v>
      </c>
      <c r="AI193" s="25"/>
      <c r="AJ193" s="25">
        <v>141.4</v>
      </c>
      <c r="AK193" s="25"/>
      <c r="AL193" s="25">
        <v>129.19999999999999</v>
      </c>
      <c r="AM193" s="25"/>
      <c r="AN193" s="25">
        <v>131.30000000000001</v>
      </c>
      <c r="AO193" s="25"/>
      <c r="AP193" s="25">
        <v>137.1</v>
      </c>
    </row>
    <row r="194" spans="1:42" hidden="1" x14ac:dyDescent="0.3">
      <c r="A194" s="25" t="s">
        <v>30</v>
      </c>
      <c r="B194" s="25">
        <v>2018</v>
      </c>
      <c r="C194" s="25" t="s">
        <v>38</v>
      </c>
      <c r="D194" s="26">
        <f>DATE(B194,MATCH(TRIM(C194),{"January","February","March","April","May","June","July","August","September","October","November","December"},0),1)</f>
        <v>43221</v>
      </c>
      <c r="E194" s="25">
        <v>137.4</v>
      </c>
      <c r="F194" s="25">
        <v>145.69999999999999</v>
      </c>
      <c r="G194" s="25">
        <v>135.5</v>
      </c>
      <c r="H194" s="25">
        <v>142.9</v>
      </c>
      <c r="I194" s="25">
        <v>123.6</v>
      </c>
      <c r="J194" s="25">
        <v>157.5</v>
      </c>
      <c r="K194" s="25">
        <v>137.80000000000001</v>
      </c>
      <c r="L194" s="25">
        <v>127.2</v>
      </c>
      <c r="M194" s="25">
        <v>111.8</v>
      </c>
      <c r="N194" s="25">
        <v>137.4</v>
      </c>
      <c r="O194" s="25">
        <v>132.19999999999999</v>
      </c>
      <c r="P194" s="25">
        <v>154.30000000000001</v>
      </c>
      <c r="Q194" s="25">
        <v>139.1</v>
      </c>
      <c r="R194" s="25"/>
      <c r="S194" s="25">
        <v>157</v>
      </c>
      <c r="T194" s="25"/>
      <c r="U194" s="25">
        <v>150.80000000000001</v>
      </c>
      <c r="V194" s="25">
        <v>144.1</v>
      </c>
      <c r="W194" s="25">
        <v>149.80000000000001</v>
      </c>
      <c r="X194" s="25"/>
      <c r="Y194" s="25" t="s">
        <v>32</v>
      </c>
      <c r="Z194" s="25">
        <v>144.30000000000001</v>
      </c>
      <c r="AA194" s="25"/>
      <c r="AB194" s="25">
        <v>141.80000000000001</v>
      </c>
      <c r="AC194" s="25"/>
      <c r="AD194" s="25">
        <v>138.4</v>
      </c>
      <c r="AE194" s="25"/>
      <c r="AF194" s="25">
        <v>126.4</v>
      </c>
      <c r="AG194" s="25"/>
      <c r="AH194" s="25">
        <v>136.80000000000001</v>
      </c>
      <c r="AI194" s="25"/>
      <c r="AJ194" s="25">
        <v>144.4</v>
      </c>
      <c r="AK194" s="25"/>
      <c r="AL194" s="25">
        <v>131.19999999999999</v>
      </c>
      <c r="AM194" s="25"/>
      <c r="AN194" s="25">
        <v>135.1</v>
      </c>
      <c r="AO194" s="25"/>
      <c r="AP194" s="25">
        <v>139.80000000000001</v>
      </c>
    </row>
    <row r="195" spans="1:42" hidden="1" x14ac:dyDescent="0.3">
      <c r="A195" s="25" t="s">
        <v>33</v>
      </c>
      <c r="B195" s="25">
        <v>2018</v>
      </c>
      <c r="C195" s="25" t="s">
        <v>38</v>
      </c>
      <c r="D195" s="26">
        <f>DATE(B195,MATCH(TRIM(C195),{"January","February","March","April","May","June","July","August","September","October","November","December"},0),1)</f>
        <v>43221</v>
      </c>
      <c r="E195" s="25">
        <v>135</v>
      </c>
      <c r="F195" s="25">
        <v>148.19999999999999</v>
      </c>
      <c r="G195" s="25">
        <v>130.5</v>
      </c>
      <c r="H195" s="25">
        <v>140.69999999999999</v>
      </c>
      <c r="I195" s="25">
        <v>116.4</v>
      </c>
      <c r="J195" s="25">
        <v>151.30000000000001</v>
      </c>
      <c r="K195" s="25">
        <v>131.4</v>
      </c>
      <c r="L195" s="25">
        <v>112.8</v>
      </c>
      <c r="M195" s="25">
        <v>105.3</v>
      </c>
      <c r="N195" s="25">
        <v>139.6</v>
      </c>
      <c r="O195" s="25">
        <v>126.6</v>
      </c>
      <c r="P195" s="25">
        <v>148.69999999999999</v>
      </c>
      <c r="Q195" s="25">
        <v>136.4</v>
      </c>
      <c r="R195" s="25"/>
      <c r="S195" s="25">
        <v>160.30000000000001</v>
      </c>
      <c r="T195" s="25"/>
      <c r="U195" s="25">
        <v>138.6</v>
      </c>
      <c r="V195" s="25">
        <v>127.9</v>
      </c>
      <c r="W195" s="25">
        <v>137</v>
      </c>
      <c r="X195" s="25"/>
      <c r="Y195" s="25">
        <v>143.19999999999999</v>
      </c>
      <c r="Z195" s="25">
        <v>124.7</v>
      </c>
      <c r="AA195" s="25"/>
      <c r="AB195" s="25">
        <v>132.5</v>
      </c>
      <c r="AC195" s="25"/>
      <c r="AD195" s="25">
        <v>132</v>
      </c>
      <c r="AE195" s="25"/>
      <c r="AF195" s="25">
        <v>119.8</v>
      </c>
      <c r="AG195" s="25"/>
      <c r="AH195" s="25">
        <v>128</v>
      </c>
      <c r="AI195" s="25"/>
      <c r="AJ195" s="25">
        <v>140.4</v>
      </c>
      <c r="AK195" s="25"/>
      <c r="AL195" s="25">
        <v>128.1</v>
      </c>
      <c r="AM195" s="25"/>
      <c r="AN195" s="25">
        <v>128.9</v>
      </c>
      <c r="AO195" s="25"/>
      <c r="AP195" s="25">
        <v>135.4</v>
      </c>
    </row>
    <row r="196" spans="1:42" hidden="1" x14ac:dyDescent="0.3">
      <c r="A196" s="25" t="s">
        <v>34</v>
      </c>
      <c r="B196" s="25">
        <v>2018</v>
      </c>
      <c r="C196" s="25" t="s">
        <v>38</v>
      </c>
      <c r="D196" s="26">
        <f>DATE(B196,MATCH(TRIM(C196),{"January","February","March","April","May","June","July","August","September","October","November","December"},0),1)</f>
        <v>43221</v>
      </c>
      <c r="E196" s="25">
        <v>136.6</v>
      </c>
      <c r="F196" s="25">
        <v>146.6</v>
      </c>
      <c r="G196" s="25">
        <v>133.6</v>
      </c>
      <c r="H196" s="25">
        <v>142.1</v>
      </c>
      <c r="I196" s="25">
        <v>121</v>
      </c>
      <c r="J196" s="25">
        <v>154.6</v>
      </c>
      <c r="K196" s="25">
        <v>135.6</v>
      </c>
      <c r="L196" s="25">
        <v>122.3</v>
      </c>
      <c r="M196" s="25">
        <v>109.6</v>
      </c>
      <c r="N196" s="25">
        <v>138.1</v>
      </c>
      <c r="O196" s="25">
        <v>129.9</v>
      </c>
      <c r="P196" s="25">
        <v>151.69999999999999</v>
      </c>
      <c r="Q196" s="25">
        <v>138.1</v>
      </c>
      <c r="R196" s="25"/>
      <c r="S196" s="25">
        <v>157.9</v>
      </c>
      <c r="T196" s="25"/>
      <c r="U196" s="25">
        <v>146</v>
      </c>
      <c r="V196" s="25">
        <v>137.4</v>
      </c>
      <c r="W196" s="25">
        <v>144.69999999999999</v>
      </c>
      <c r="X196" s="25"/>
      <c r="Y196" s="25">
        <v>143.19999999999999</v>
      </c>
      <c r="Z196" s="25">
        <v>136.9</v>
      </c>
      <c r="AA196" s="25"/>
      <c r="AB196" s="25">
        <v>137.4</v>
      </c>
      <c r="AC196" s="25"/>
      <c r="AD196" s="25">
        <v>136</v>
      </c>
      <c r="AE196" s="25"/>
      <c r="AF196" s="25">
        <v>122.9</v>
      </c>
      <c r="AG196" s="25"/>
      <c r="AH196" s="25">
        <v>131.80000000000001</v>
      </c>
      <c r="AI196" s="25"/>
      <c r="AJ196" s="25">
        <v>142.1</v>
      </c>
      <c r="AK196" s="25"/>
      <c r="AL196" s="25">
        <v>129.9</v>
      </c>
      <c r="AM196" s="25"/>
      <c r="AN196" s="25">
        <v>132.1</v>
      </c>
      <c r="AO196" s="25"/>
      <c r="AP196" s="25">
        <v>137.80000000000001</v>
      </c>
    </row>
    <row r="197" spans="1:42" hidden="1" x14ac:dyDescent="0.3">
      <c r="A197" s="25" t="s">
        <v>30</v>
      </c>
      <c r="B197" s="25">
        <v>2018</v>
      </c>
      <c r="C197" s="25" t="s">
        <v>39</v>
      </c>
      <c r="D197" s="26">
        <f>DATE(B197,MATCH(TRIM(C197),{"January","February","March","April","May","June","July","August","September","October","November","December"},0),1)</f>
        <v>43252</v>
      </c>
      <c r="E197" s="25">
        <v>137.6</v>
      </c>
      <c r="F197" s="25">
        <v>148.1</v>
      </c>
      <c r="G197" s="25">
        <v>136.69999999999999</v>
      </c>
      <c r="H197" s="25">
        <v>143.19999999999999</v>
      </c>
      <c r="I197" s="25">
        <v>124</v>
      </c>
      <c r="J197" s="25">
        <v>154.1</v>
      </c>
      <c r="K197" s="25">
        <v>143.5</v>
      </c>
      <c r="L197" s="25">
        <v>126</v>
      </c>
      <c r="M197" s="25">
        <v>112.4</v>
      </c>
      <c r="N197" s="25">
        <v>137.6</v>
      </c>
      <c r="O197" s="25">
        <v>132.80000000000001</v>
      </c>
      <c r="P197" s="25">
        <v>154.30000000000001</v>
      </c>
      <c r="Q197" s="25">
        <v>140</v>
      </c>
      <c r="R197" s="25"/>
      <c r="S197" s="25">
        <v>157.30000000000001</v>
      </c>
      <c r="T197" s="25"/>
      <c r="U197" s="25">
        <v>151.30000000000001</v>
      </c>
      <c r="V197" s="25">
        <v>144.69999999999999</v>
      </c>
      <c r="W197" s="25">
        <v>150.30000000000001</v>
      </c>
      <c r="X197" s="25"/>
      <c r="Y197" s="25" t="s">
        <v>32</v>
      </c>
      <c r="Z197" s="25">
        <v>145.1</v>
      </c>
      <c r="AA197" s="25"/>
      <c r="AB197" s="25">
        <v>142.19999999999999</v>
      </c>
      <c r="AC197" s="25"/>
      <c r="AD197" s="25">
        <v>138.4</v>
      </c>
      <c r="AE197" s="25"/>
      <c r="AF197" s="25">
        <v>127.4</v>
      </c>
      <c r="AG197" s="25"/>
      <c r="AH197" s="25">
        <v>137.80000000000001</v>
      </c>
      <c r="AI197" s="25"/>
      <c r="AJ197" s="25">
        <v>145.1</v>
      </c>
      <c r="AK197" s="25"/>
      <c r="AL197" s="25">
        <v>131.4</v>
      </c>
      <c r="AM197" s="25"/>
      <c r="AN197" s="25">
        <v>135.6</v>
      </c>
      <c r="AO197" s="25"/>
      <c r="AP197" s="25">
        <v>140.5</v>
      </c>
    </row>
    <row r="198" spans="1:42" hidden="1" x14ac:dyDescent="0.3">
      <c r="A198" s="25" t="s">
        <v>33</v>
      </c>
      <c r="B198" s="25">
        <v>2018</v>
      </c>
      <c r="C198" s="25" t="s">
        <v>39</v>
      </c>
      <c r="D198" s="26">
        <f>DATE(B198,MATCH(TRIM(C198),{"January","February","March","April","May","June","July","August","September","October","November","December"},0),1)</f>
        <v>43252</v>
      </c>
      <c r="E198" s="25">
        <v>135.30000000000001</v>
      </c>
      <c r="F198" s="25">
        <v>149.69999999999999</v>
      </c>
      <c r="G198" s="25">
        <v>133.9</v>
      </c>
      <c r="H198" s="25">
        <v>140.80000000000001</v>
      </c>
      <c r="I198" s="25">
        <v>116.6</v>
      </c>
      <c r="J198" s="25">
        <v>152.19999999999999</v>
      </c>
      <c r="K198" s="25">
        <v>144</v>
      </c>
      <c r="L198" s="25">
        <v>112.3</v>
      </c>
      <c r="M198" s="25">
        <v>108.4</v>
      </c>
      <c r="N198" s="25">
        <v>140</v>
      </c>
      <c r="O198" s="25">
        <v>126.7</v>
      </c>
      <c r="P198" s="25">
        <v>149</v>
      </c>
      <c r="Q198" s="25">
        <v>138.4</v>
      </c>
      <c r="R198" s="25"/>
      <c r="S198" s="25">
        <v>161</v>
      </c>
      <c r="T198" s="25"/>
      <c r="U198" s="25">
        <v>138.9</v>
      </c>
      <c r="V198" s="25">
        <v>128.69999999999999</v>
      </c>
      <c r="W198" s="25">
        <v>137.4</v>
      </c>
      <c r="X198" s="25"/>
      <c r="Y198" s="25">
        <v>142.5</v>
      </c>
      <c r="Z198" s="25">
        <v>126.5</v>
      </c>
      <c r="AA198" s="25"/>
      <c r="AB198" s="25">
        <v>133.1</v>
      </c>
      <c r="AC198" s="25"/>
      <c r="AD198" s="25">
        <v>132.6</v>
      </c>
      <c r="AE198" s="25"/>
      <c r="AF198" s="25">
        <v>120.4</v>
      </c>
      <c r="AG198" s="25"/>
      <c r="AH198" s="25">
        <v>128.5</v>
      </c>
      <c r="AI198" s="25"/>
      <c r="AJ198" s="25">
        <v>141.19999999999999</v>
      </c>
      <c r="AK198" s="25"/>
      <c r="AL198" s="25">
        <v>128.19999999999999</v>
      </c>
      <c r="AM198" s="25"/>
      <c r="AN198" s="25">
        <v>129.5</v>
      </c>
      <c r="AO198" s="25"/>
      <c r="AP198" s="25">
        <v>136.19999999999999</v>
      </c>
    </row>
    <row r="199" spans="1:42" hidden="1" x14ac:dyDescent="0.3">
      <c r="A199" s="25" t="s">
        <v>34</v>
      </c>
      <c r="B199" s="25">
        <v>2018</v>
      </c>
      <c r="C199" s="25" t="s">
        <v>39</v>
      </c>
      <c r="D199" s="26">
        <f>DATE(B199,MATCH(TRIM(C199),{"January","February","March","April","May","June","July","August","September","October","November","December"},0),1)</f>
        <v>43252</v>
      </c>
      <c r="E199" s="25">
        <v>136.9</v>
      </c>
      <c r="F199" s="25">
        <v>148.69999999999999</v>
      </c>
      <c r="G199" s="25">
        <v>135.6</v>
      </c>
      <c r="H199" s="25">
        <v>142.30000000000001</v>
      </c>
      <c r="I199" s="25">
        <v>121.3</v>
      </c>
      <c r="J199" s="25">
        <v>153.19999999999999</v>
      </c>
      <c r="K199" s="25">
        <v>143.69999999999999</v>
      </c>
      <c r="L199" s="25">
        <v>121.4</v>
      </c>
      <c r="M199" s="25">
        <v>111.1</v>
      </c>
      <c r="N199" s="25">
        <v>138.4</v>
      </c>
      <c r="O199" s="25">
        <v>130.30000000000001</v>
      </c>
      <c r="P199" s="25">
        <v>151.80000000000001</v>
      </c>
      <c r="Q199" s="25">
        <v>139.4</v>
      </c>
      <c r="R199" s="25"/>
      <c r="S199" s="25">
        <v>158.30000000000001</v>
      </c>
      <c r="T199" s="25"/>
      <c r="U199" s="25">
        <v>146.4</v>
      </c>
      <c r="V199" s="25">
        <v>138.1</v>
      </c>
      <c r="W199" s="25">
        <v>145.19999999999999</v>
      </c>
      <c r="X199" s="25"/>
      <c r="Y199" s="25">
        <v>142.5</v>
      </c>
      <c r="Z199" s="25">
        <v>138.1</v>
      </c>
      <c r="AA199" s="25"/>
      <c r="AB199" s="25">
        <v>137.9</v>
      </c>
      <c r="AC199" s="25"/>
      <c r="AD199" s="25">
        <v>136.19999999999999</v>
      </c>
      <c r="AE199" s="25"/>
      <c r="AF199" s="25">
        <v>123.7</v>
      </c>
      <c r="AG199" s="25"/>
      <c r="AH199" s="25">
        <v>132.6</v>
      </c>
      <c r="AI199" s="25"/>
      <c r="AJ199" s="25">
        <v>142.80000000000001</v>
      </c>
      <c r="AK199" s="25"/>
      <c r="AL199" s="25">
        <v>130.1</v>
      </c>
      <c r="AM199" s="25"/>
      <c r="AN199" s="25">
        <v>132.6</v>
      </c>
      <c r="AO199" s="25"/>
      <c r="AP199" s="25">
        <v>138.5</v>
      </c>
    </row>
    <row r="200" spans="1:42" hidden="1" x14ac:dyDescent="0.3">
      <c r="A200" s="25" t="s">
        <v>30</v>
      </c>
      <c r="B200" s="25">
        <v>2018</v>
      </c>
      <c r="C200" s="25" t="s">
        <v>40</v>
      </c>
      <c r="D200" s="26">
        <f>DATE(B200,MATCH(TRIM(C200),{"January","February","March","April","May","June","July","August","September","October","November","December"},0),1)</f>
        <v>43282</v>
      </c>
      <c r="E200" s="25">
        <v>138.4</v>
      </c>
      <c r="F200" s="25">
        <v>149.30000000000001</v>
      </c>
      <c r="G200" s="25">
        <v>139.30000000000001</v>
      </c>
      <c r="H200" s="25">
        <v>143.4</v>
      </c>
      <c r="I200" s="25">
        <v>124.1</v>
      </c>
      <c r="J200" s="25">
        <v>153.30000000000001</v>
      </c>
      <c r="K200" s="25">
        <v>154.19999999999999</v>
      </c>
      <c r="L200" s="25">
        <v>126.4</v>
      </c>
      <c r="M200" s="25">
        <v>114.3</v>
      </c>
      <c r="N200" s="25">
        <v>138.19999999999999</v>
      </c>
      <c r="O200" s="25">
        <v>132.80000000000001</v>
      </c>
      <c r="P200" s="25">
        <v>154.80000000000001</v>
      </c>
      <c r="Q200" s="25">
        <v>142</v>
      </c>
      <c r="R200" s="25"/>
      <c r="S200" s="25">
        <v>156.1</v>
      </c>
      <c r="T200" s="25"/>
      <c r="U200" s="25">
        <v>151.5</v>
      </c>
      <c r="V200" s="25">
        <v>145.1</v>
      </c>
      <c r="W200" s="25">
        <v>150.6</v>
      </c>
      <c r="X200" s="25"/>
      <c r="Y200" s="25" t="s">
        <v>32</v>
      </c>
      <c r="Z200" s="25">
        <v>146.80000000000001</v>
      </c>
      <c r="AA200" s="25"/>
      <c r="AB200" s="25">
        <v>143.1</v>
      </c>
      <c r="AC200" s="25"/>
      <c r="AD200" s="25">
        <v>139</v>
      </c>
      <c r="AE200" s="25"/>
      <c r="AF200" s="25">
        <v>127.5</v>
      </c>
      <c r="AG200" s="25"/>
      <c r="AH200" s="25">
        <v>138.4</v>
      </c>
      <c r="AI200" s="25"/>
      <c r="AJ200" s="25">
        <v>145.80000000000001</v>
      </c>
      <c r="AK200" s="25"/>
      <c r="AL200" s="25">
        <v>131.4</v>
      </c>
      <c r="AM200" s="25"/>
      <c r="AN200" s="25">
        <v>136</v>
      </c>
      <c r="AO200" s="25"/>
      <c r="AP200" s="25">
        <v>141.80000000000001</v>
      </c>
    </row>
    <row r="201" spans="1:42" hidden="1" x14ac:dyDescent="0.3">
      <c r="A201" s="25" t="s">
        <v>33</v>
      </c>
      <c r="B201" s="25">
        <v>2018</v>
      </c>
      <c r="C201" s="25" t="s">
        <v>40</v>
      </c>
      <c r="D201" s="26">
        <f>DATE(B201,MATCH(TRIM(C201),{"January","February","March","April","May","June","July","August","September","October","November","December"},0),1)</f>
        <v>43282</v>
      </c>
      <c r="E201" s="25">
        <v>135.6</v>
      </c>
      <c r="F201" s="25">
        <v>148.6</v>
      </c>
      <c r="G201" s="25">
        <v>139.1</v>
      </c>
      <c r="H201" s="25">
        <v>141</v>
      </c>
      <c r="I201" s="25">
        <v>116.7</v>
      </c>
      <c r="J201" s="25">
        <v>149.69999999999999</v>
      </c>
      <c r="K201" s="25">
        <v>159.19999999999999</v>
      </c>
      <c r="L201" s="25">
        <v>112.6</v>
      </c>
      <c r="M201" s="25">
        <v>111.8</v>
      </c>
      <c r="N201" s="25">
        <v>140.30000000000001</v>
      </c>
      <c r="O201" s="25">
        <v>126.8</v>
      </c>
      <c r="P201" s="25">
        <v>149.4</v>
      </c>
      <c r="Q201" s="25">
        <v>140.30000000000001</v>
      </c>
      <c r="R201" s="25"/>
      <c r="S201" s="25">
        <v>161.4</v>
      </c>
      <c r="T201" s="25"/>
      <c r="U201" s="25">
        <v>139.6</v>
      </c>
      <c r="V201" s="25">
        <v>128.9</v>
      </c>
      <c r="W201" s="25">
        <v>137.9</v>
      </c>
      <c r="X201" s="25"/>
      <c r="Y201" s="25">
        <v>143.6</v>
      </c>
      <c r="Z201" s="25">
        <v>128.1</v>
      </c>
      <c r="AA201" s="25"/>
      <c r="AB201" s="25">
        <v>133.6</v>
      </c>
      <c r="AC201" s="25"/>
      <c r="AD201" s="25">
        <v>133.6</v>
      </c>
      <c r="AE201" s="25"/>
      <c r="AF201" s="25">
        <v>120.1</v>
      </c>
      <c r="AG201" s="25"/>
      <c r="AH201" s="25">
        <v>129</v>
      </c>
      <c r="AI201" s="25"/>
      <c r="AJ201" s="25">
        <v>144</v>
      </c>
      <c r="AK201" s="25"/>
      <c r="AL201" s="25">
        <v>128.19999999999999</v>
      </c>
      <c r="AM201" s="25"/>
      <c r="AN201" s="25">
        <v>130.19999999999999</v>
      </c>
      <c r="AO201" s="25"/>
      <c r="AP201" s="25">
        <v>137.5</v>
      </c>
    </row>
    <row r="202" spans="1:42" hidden="1" x14ac:dyDescent="0.3">
      <c r="A202" s="25" t="s">
        <v>34</v>
      </c>
      <c r="B202" s="25">
        <v>2018</v>
      </c>
      <c r="C202" s="25" t="s">
        <v>40</v>
      </c>
      <c r="D202" s="26">
        <f>DATE(B202,MATCH(TRIM(C202),{"January","February","March","April","May","June","July","August","September","October","November","December"},0),1)</f>
        <v>43282</v>
      </c>
      <c r="E202" s="25">
        <v>137.5</v>
      </c>
      <c r="F202" s="25">
        <v>149.1</v>
      </c>
      <c r="G202" s="25">
        <v>139.19999999999999</v>
      </c>
      <c r="H202" s="25">
        <v>142.5</v>
      </c>
      <c r="I202" s="25">
        <v>121.4</v>
      </c>
      <c r="J202" s="25">
        <v>151.6</v>
      </c>
      <c r="K202" s="25">
        <v>155.9</v>
      </c>
      <c r="L202" s="25">
        <v>121.7</v>
      </c>
      <c r="M202" s="25">
        <v>113.5</v>
      </c>
      <c r="N202" s="25">
        <v>138.9</v>
      </c>
      <c r="O202" s="25">
        <v>130.30000000000001</v>
      </c>
      <c r="P202" s="25">
        <v>152.30000000000001</v>
      </c>
      <c r="Q202" s="25">
        <v>141.4</v>
      </c>
      <c r="R202" s="25"/>
      <c r="S202" s="25">
        <v>157.5</v>
      </c>
      <c r="T202" s="25"/>
      <c r="U202" s="25">
        <v>146.80000000000001</v>
      </c>
      <c r="V202" s="25">
        <v>138.4</v>
      </c>
      <c r="W202" s="25">
        <v>145.6</v>
      </c>
      <c r="X202" s="25"/>
      <c r="Y202" s="25">
        <v>143.6</v>
      </c>
      <c r="Z202" s="25">
        <v>139.69999999999999</v>
      </c>
      <c r="AA202" s="25"/>
      <c r="AB202" s="25">
        <v>138.6</v>
      </c>
      <c r="AC202" s="25"/>
      <c r="AD202" s="25">
        <v>137</v>
      </c>
      <c r="AE202" s="25"/>
      <c r="AF202" s="25">
        <v>123.6</v>
      </c>
      <c r="AG202" s="25"/>
      <c r="AH202" s="25">
        <v>133.1</v>
      </c>
      <c r="AI202" s="25"/>
      <c r="AJ202" s="25">
        <v>144.69999999999999</v>
      </c>
      <c r="AK202" s="25"/>
      <c r="AL202" s="25">
        <v>130.1</v>
      </c>
      <c r="AM202" s="25"/>
      <c r="AN202" s="25">
        <v>133.19999999999999</v>
      </c>
      <c r="AO202" s="25"/>
      <c r="AP202" s="25">
        <v>139.80000000000001</v>
      </c>
    </row>
    <row r="203" spans="1:42" hidden="1" x14ac:dyDescent="0.3">
      <c r="A203" s="25" t="s">
        <v>30</v>
      </c>
      <c r="B203" s="25">
        <v>2018</v>
      </c>
      <c r="C203" s="25" t="s">
        <v>41</v>
      </c>
      <c r="D203" s="26">
        <f>DATE(B203,MATCH(TRIM(C203),{"January","February","March","April","May","June","July","August","September","October","November","December"},0),1)</f>
        <v>43313</v>
      </c>
      <c r="E203" s="25">
        <v>139.19999999999999</v>
      </c>
      <c r="F203" s="25">
        <v>148.80000000000001</v>
      </c>
      <c r="G203" s="25">
        <v>139.1</v>
      </c>
      <c r="H203" s="25">
        <v>143.5</v>
      </c>
      <c r="I203" s="25">
        <v>125</v>
      </c>
      <c r="J203" s="25">
        <v>154.4</v>
      </c>
      <c r="K203" s="25">
        <v>156.30000000000001</v>
      </c>
      <c r="L203" s="25">
        <v>126.8</v>
      </c>
      <c r="M203" s="25">
        <v>115.4</v>
      </c>
      <c r="N203" s="25">
        <v>138.6</v>
      </c>
      <c r="O203" s="25">
        <v>133.80000000000001</v>
      </c>
      <c r="P203" s="25">
        <v>155.19999999999999</v>
      </c>
      <c r="Q203" s="25">
        <v>142.69999999999999</v>
      </c>
      <c r="R203" s="25"/>
      <c r="S203" s="25">
        <v>156.4</v>
      </c>
      <c r="T203" s="25"/>
      <c r="U203" s="25">
        <v>152.1</v>
      </c>
      <c r="V203" s="25">
        <v>145.80000000000001</v>
      </c>
      <c r="W203" s="25">
        <v>151.30000000000001</v>
      </c>
      <c r="X203" s="25"/>
      <c r="Y203" s="25" t="s">
        <v>32</v>
      </c>
      <c r="Z203" s="25">
        <v>147.69999999999999</v>
      </c>
      <c r="AA203" s="25"/>
      <c r="AB203" s="25">
        <v>143.80000000000001</v>
      </c>
      <c r="AC203" s="25"/>
      <c r="AD203" s="25">
        <v>139.4</v>
      </c>
      <c r="AE203" s="25"/>
      <c r="AF203" s="25">
        <v>128.30000000000001</v>
      </c>
      <c r="AG203" s="25"/>
      <c r="AH203" s="25">
        <v>138.6</v>
      </c>
      <c r="AI203" s="25"/>
      <c r="AJ203" s="25">
        <v>146.9</v>
      </c>
      <c r="AK203" s="25"/>
      <c r="AL203" s="25">
        <v>131.30000000000001</v>
      </c>
      <c r="AM203" s="25"/>
      <c r="AN203" s="25">
        <v>136.6</v>
      </c>
      <c r="AO203" s="25"/>
      <c r="AP203" s="25">
        <v>142.5</v>
      </c>
    </row>
    <row r="204" spans="1:42" hidden="1" x14ac:dyDescent="0.3">
      <c r="A204" s="25" t="s">
        <v>33</v>
      </c>
      <c r="B204" s="25">
        <v>2018</v>
      </c>
      <c r="C204" s="25" t="s">
        <v>41</v>
      </c>
      <c r="D204" s="26">
        <f>DATE(B204,MATCH(TRIM(C204),{"January","February","March","April","May","June","July","August","September","October","November","December"},0),1)</f>
        <v>43313</v>
      </c>
      <c r="E204" s="25">
        <v>136.5</v>
      </c>
      <c r="F204" s="25">
        <v>146.4</v>
      </c>
      <c r="G204" s="25">
        <v>136.6</v>
      </c>
      <c r="H204" s="25">
        <v>141.19999999999999</v>
      </c>
      <c r="I204" s="25">
        <v>117.4</v>
      </c>
      <c r="J204" s="25">
        <v>146.30000000000001</v>
      </c>
      <c r="K204" s="25">
        <v>157.30000000000001</v>
      </c>
      <c r="L204" s="25">
        <v>113.6</v>
      </c>
      <c r="M204" s="25">
        <v>113.3</v>
      </c>
      <c r="N204" s="25">
        <v>141.1</v>
      </c>
      <c r="O204" s="25">
        <v>127.4</v>
      </c>
      <c r="P204" s="25">
        <v>150.4</v>
      </c>
      <c r="Q204" s="25">
        <v>140.1</v>
      </c>
      <c r="R204" s="25"/>
      <c r="S204" s="25">
        <v>162.1</v>
      </c>
      <c r="T204" s="25"/>
      <c r="U204" s="25">
        <v>140</v>
      </c>
      <c r="V204" s="25">
        <v>129</v>
      </c>
      <c r="W204" s="25">
        <v>138.30000000000001</v>
      </c>
      <c r="X204" s="25"/>
      <c r="Y204" s="25">
        <v>144.6</v>
      </c>
      <c r="Z204" s="25">
        <v>129.80000000000001</v>
      </c>
      <c r="AA204" s="25"/>
      <c r="AB204" s="25">
        <v>134.4</v>
      </c>
      <c r="AC204" s="25"/>
      <c r="AD204" s="25">
        <v>134.9</v>
      </c>
      <c r="AE204" s="25"/>
      <c r="AF204" s="25">
        <v>120.7</v>
      </c>
      <c r="AG204" s="25"/>
      <c r="AH204" s="25">
        <v>129.80000000000001</v>
      </c>
      <c r="AI204" s="25"/>
      <c r="AJ204" s="25">
        <v>145.30000000000001</v>
      </c>
      <c r="AK204" s="25"/>
      <c r="AL204" s="25">
        <v>128.30000000000001</v>
      </c>
      <c r="AM204" s="25"/>
      <c r="AN204" s="25">
        <v>131</v>
      </c>
      <c r="AO204" s="25"/>
      <c r="AP204" s="25">
        <v>138</v>
      </c>
    </row>
    <row r="205" spans="1:42" hidden="1" x14ac:dyDescent="0.3">
      <c r="A205" s="25" t="s">
        <v>34</v>
      </c>
      <c r="B205" s="25">
        <v>2018</v>
      </c>
      <c r="C205" s="25" t="s">
        <v>41</v>
      </c>
      <c r="D205" s="26">
        <f>DATE(B205,MATCH(TRIM(C205),{"January","February","March","April","May","June","July","August","September","October","November","December"},0),1)</f>
        <v>43313</v>
      </c>
      <c r="E205" s="25">
        <v>138.30000000000001</v>
      </c>
      <c r="F205" s="25">
        <v>148</v>
      </c>
      <c r="G205" s="25">
        <v>138.1</v>
      </c>
      <c r="H205" s="25">
        <v>142.6</v>
      </c>
      <c r="I205" s="25">
        <v>122.2</v>
      </c>
      <c r="J205" s="25">
        <v>150.6</v>
      </c>
      <c r="K205" s="25">
        <v>156.6</v>
      </c>
      <c r="L205" s="25">
        <v>122.4</v>
      </c>
      <c r="M205" s="25">
        <v>114.7</v>
      </c>
      <c r="N205" s="25">
        <v>139.4</v>
      </c>
      <c r="O205" s="25">
        <v>131.1</v>
      </c>
      <c r="P205" s="25">
        <v>153</v>
      </c>
      <c r="Q205" s="25">
        <v>141.69999999999999</v>
      </c>
      <c r="R205" s="25"/>
      <c r="S205" s="25">
        <v>157.9</v>
      </c>
      <c r="T205" s="25"/>
      <c r="U205" s="25">
        <v>147.30000000000001</v>
      </c>
      <c r="V205" s="25">
        <v>138.80000000000001</v>
      </c>
      <c r="W205" s="25">
        <v>146.1</v>
      </c>
      <c r="X205" s="25"/>
      <c r="Y205" s="25">
        <v>144.6</v>
      </c>
      <c r="Z205" s="25">
        <v>140.9</v>
      </c>
      <c r="AA205" s="25"/>
      <c r="AB205" s="25">
        <v>139.4</v>
      </c>
      <c r="AC205" s="25"/>
      <c r="AD205" s="25">
        <v>137.69999999999999</v>
      </c>
      <c r="AE205" s="25"/>
      <c r="AF205" s="25">
        <v>124.3</v>
      </c>
      <c r="AG205" s="25"/>
      <c r="AH205" s="25">
        <v>133.6</v>
      </c>
      <c r="AI205" s="25"/>
      <c r="AJ205" s="25">
        <v>146</v>
      </c>
      <c r="AK205" s="25"/>
      <c r="AL205" s="25">
        <v>130.1</v>
      </c>
      <c r="AM205" s="25"/>
      <c r="AN205" s="25">
        <v>133.9</v>
      </c>
      <c r="AO205" s="25"/>
      <c r="AP205" s="25">
        <v>140.4</v>
      </c>
    </row>
    <row r="206" spans="1:42" hidden="1" x14ac:dyDescent="0.3">
      <c r="A206" s="25" t="s">
        <v>30</v>
      </c>
      <c r="B206" s="25">
        <v>2018</v>
      </c>
      <c r="C206" s="25" t="s">
        <v>42</v>
      </c>
      <c r="D206" s="26">
        <f>DATE(B206,MATCH(TRIM(C206),{"January","February","March","April","May","June","July","August","September","October","November","December"},0),1)</f>
        <v>43344</v>
      </c>
      <c r="E206" s="25">
        <v>139.4</v>
      </c>
      <c r="F206" s="25">
        <v>147.19999999999999</v>
      </c>
      <c r="G206" s="25">
        <v>136.6</v>
      </c>
      <c r="H206" s="25">
        <v>143.69999999999999</v>
      </c>
      <c r="I206" s="25">
        <v>124.6</v>
      </c>
      <c r="J206" s="25">
        <v>150.1</v>
      </c>
      <c r="K206" s="25">
        <v>149.4</v>
      </c>
      <c r="L206" s="25">
        <v>125.4</v>
      </c>
      <c r="M206" s="25">
        <v>114.4</v>
      </c>
      <c r="N206" s="25">
        <v>138.69999999999999</v>
      </c>
      <c r="O206" s="25">
        <v>133.1</v>
      </c>
      <c r="P206" s="25">
        <v>155.9</v>
      </c>
      <c r="Q206" s="25">
        <v>141.30000000000001</v>
      </c>
      <c r="R206" s="25"/>
      <c r="S206" s="25">
        <v>157.69999999999999</v>
      </c>
      <c r="T206" s="25"/>
      <c r="U206" s="25">
        <v>152.1</v>
      </c>
      <c r="V206" s="25">
        <v>146.1</v>
      </c>
      <c r="W206" s="25">
        <v>151.30000000000001</v>
      </c>
      <c r="X206" s="25"/>
      <c r="Y206" s="25" t="s">
        <v>32</v>
      </c>
      <c r="Z206" s="25">
        <v>149</v>
      </c>
      <c r="AA206" s="25"/>
      <c r="AB206" s="25">
        <v>144</v>
      </c>
      <c r="AC206" s="25"/>
      <c r="AD206" s="25">
        <v>140</v>
      </c>
      <c r="AE206" s="25"/>
      <c r="AF206" s="25">
        <v>129.9</v>
      </c>
      <c r="AG206" s="25"/>
      <c r="AH206" s="25">
        <v>140</v>
      </c>
      <c r="AI206" s="25"/>
      <c r="AJ206" s="25">
        <v>147.6</v>
      </c>
      <c r="AK206" s="25"/>
      <c r="AL206" s="25">
        <v>132</v>
      </c>
      <c r="AM206" s="25"/>
      <c r="AN206" s="25">
        <v>137.4</v>
      </c>
      <c r="AO206" s="25"/>
      <c r="AP206" s="25">
        <v>142.1</v>
      </c>
    </row>
    <row r="207" spans="1:42" hidden="1" x14ac:dyDescent="0.3">
      <c r="A207" s="25" t="s">
        <v>33</v>
      </c>
      <c r="B207" s="25">
        <v>2018</v>
      </c>
      <c r="C207" s="25" t="s">
        <v>42</v>
      </c>
      <c r="D207" s="26">
        <f>DATE(B207,MATCH(TRIM(C207),{"January","February","March","April","May","June","July","August","September","October","November","December"},0),1)</f>
        <v>43344</v>
      </c>
      <c r="E207" s="25">
        <v>137</v>
      </c>
      <c r="F207" s="25">
        <v>143.1</v>
      </c>
      <c r="G207" s="25">
        <v>132.80000000000001</v>
      </c>
      <c r="H207" s="25">
        <v>141.5</v>
      </c>
      <c r="I207" s="25">
        <v>117.8</v>
      </c>
      <c r="J207" s="25">
        <v>140</v>
      </c>
      <c r="K207" s="25">
        <v>151.30000000000001</v>
      </c>
      <c r="L207" s="25">
        <v>113.5</v>
      </c>
      <c r="M207" s="25">
        <v>112.3</v>
      </c>
      <c r="N207" s="25">
        <v>141.19999999999999</v>
      </c>
      <c r="O207" s="25">
        <v>127.7</v>
      </c>
      <c r="P207" s="25">
        <v>151.30000000000001</v>
      </c>
      <c r="Q207" s="25">
        <v>138.9</v>
      </c>
      <c r="R207" s="25"/>
      <c r="S207" s="25">
        <v>163.30000000000001</v>
      </c>
      <c r="T207" s="25"/>
      <c r="U207" s="25">
        <v>140.80000000000001</v>
      </c>
      <c r="V207" s="25">
        <v>129.30000000000001</v>
      </c>
      <c r="W207" s="25">
        <v>139.1</v>
      </c>
      <c r="X207" s="25"/>
      <c r="Y207" s="25">
        <v>145.30000000000001</v>
      </c>
      <c r="Z207" s="25">
        <v>131.19999999999999</v>
      </c>
      <c r="AA207" s="25"/>
      <c r="AB207" s="25">
        <v>134.9</v>
      </c>
      <c r="AC207" s="25"/>
      <c r="AD207" s="25">
        <v>135.69999999999999</v>
      </c>
      <c r="AE207" s="25"/>
      <c r="AF207" s="25">
        <v>122.5</v>
      </c>
      <c r="AG207" s="25"/>
      <c r="AH207" s="25">
        <v>130.19999999999999</v>
      </c>
      <c r="AI207" s="25"/>
      <c r="AJ207" s="25">
        <v>145.19999999999999</v>
      </c>
      <c r="AK207" s="25"/>
      <c r="AL207" s="25">
        <v>129.30000000000001</v>
      </c>
      <c r="AM207" s="25"/>
      <c r="AN207" s="25">
        <v>131.9</v>
      </c>
      <c r="AO207" s="25"/>
      <c r="AP207" s="25">
        <v>138.1</v>
      </c>
    </row>
    <row r="208" spans="1:42" hidden="1" x14ac:dyDescent="0.3">
      <c r="A208" s="25" t="s">
        <v>34</v>
      </c>
      <c r="B208" s="25">
        <v>2018</v>
      </c>
      <c r="C208" s="25" t="s">
        <v>42</v>
      </c>
      <c r="D208" s="26">
        <f>DATE(B208,MATCH(TRIM(C208),{"January","February","March","April","May","June","July","August","September","October","November","December"},0),1)</f>
        <v>43344</v>
      </c>
      <c r="E208" s="25">
        <v>138.6</v>
      </c>
      <c r="F208" s="25">
        <v>145.80000000000001</v>
      </c>
      <c r="G208" s="25">
        <v>135.1</v>
      </c>
      <c r="H208" s="25">
        <v>142.9</v>
      </c>
      <c r="I208" s="25">
        <v>122.1</v>
      </c>
      <c r="J208" s="25">
        <v>145.4</v>
      </c>
      <c r="K208" s="25">
        <v>150</v>
      </c>
      <c r="L208" s="25">
        <v>121.4</v>
      </c>
      <c r="M208" s="25">
        <v>113.7</v>
      </c>
      <c r="N208" s="25">
        <v>139.5</v>
      </c>
      <c r="O208" s="25">
        <v>130.80000000000001</v>
      </c>
      <c r="P208" s="25">
        <v>153.80000000000001</v>
      </c>
      <c r="Q208" s="25">
        <v>140.4</v>
      </c>
      <c r="R208" s="25"/>
      <c r="S208" s="25">
        <v>159.19999999999999</v>
      </c>
      <c r="T208" s="25"/>
      <c r="U208" s="25">
        <v>147.69999999999999</v>
      </c>
      <c r="V208" s="25">
        <v>139.1</v>
      </c>
      <c r="W208" s="25">
        <v>146.5</v>
      </c>
      <c r="X208" s="25"/>
      <c r="Y208" s="25">
        <v>145.30000000000001</v>
      </c>
      <c r="Z208" s="25">
        <v>142.30000000000001</v>
      </c>
      <c r="AA208" s="25"/>
      <c r="AB208" s="25">
        <v>139.69999999999999</v>
      </c>
      <c r="AC208" s="25"/>
      <c r="AD208" s="25">
        <v>138.4</v>
      </c>
      <c r="AE208" s="25"/>
      <c r="AF208" s="25">
        <v>126</v>
      </c>
      <c r="AG208" s="25"/>
      <c r="AH208" s="25">
        <v>134.5</v>
      </c>
      <c r="AI208" s="25"/>
      <c r="AJ208" s="25">
        <v>146.19999999999999</v>
      </c>
      <c r="AK208" s="25"/>
      <c r="AL208" s="25">
        <v>130.9</v>
      </c>
      <c r="AM208" s="25"/>
      <c r="AN208" s="25">
        <v>134.69999999999999</v>
      </c>
      <c r="AO208" s="25"/>
      <c r="AP208" s="25">
        <v>140.19999999999999</v>
      </c>
    </row>
    <row r="209" spans="1:42" hidden="1" x14ac:dyDescent="0.3">
      <c r="A209" s="25" t="s">
        <v>30</v>
      </c>
      <c r="B209" s="25">
        <v>2018</v>
      </c>
      <c r="C209" s="25" t="s">
        <v>43</v>
      </c>
      <c r="D209" s="26">
        <f>DATE(B209,MATCH(TRIM(C209),{"January","February","March","April","May","June","July","August","September","October","November","December"},0),1)</f>
        <v>43374</v>
      </c>
      <c r="E209" s="25">
        <v>139.30000000000001</v>
      </c>
      <c r="F209" s="25">
        <v>147.6</v>
      </c>
      <c r="G209" s="25">
        <v>134.6</v>
      </c>
      <c r="H209" s="25">
        <v>141.9</v>
      </c>
      <c r="I209" s="25">
        <v>123.5</v>
      </c>
      <c r="J209" s="25">
        <v>144.5</v>
      </c>
      <c r="K209" s="25">
        <v>147.6</v>
      </c>
      <c r="L209" s="25">
        <v>121.4</v>
      </c>
      <c r="M209" s="25">
        <v>112.3</v>
      </c>
      <c r="N209" s="25">
        <v>139.5</v>
      </c>
      <c r="O209" s="25">
        <v>134.6</v>
      </c>
      <c r="P209" s="25">
        <v>155.19999999999999</v>
      </c>
      <c r="Q209" s="25">
        <v>140.19999999999999</v>
      </c>
      <c r="R209" s="25"/>
      <c r="S209" s="25">
        <v>159.6</v>
      </c>
      <c r="T209" s="25"/>
      <c r="U209" s="25">
        <v>150.69999999999999</v>
      </c>
      <c r="V209" s="25">
        <v>144.5</v>
      </c>
      <c r="W209" s="25">
        <v>149.80000000000001</v>
      </c>
      <c r="X209" s="25"/>
      <c r="Y209" s="25" t="s">
        <v>32</v>
      </c>
      <c r="Z209" s="25">
        <v>149.69999999999999</v>
      </c>
      <c r="AA209" s="25"/>
      <c r="AB209" s="25">
        <v>147.5</v>
      </c>
      <c r="AC209" s="25"/>
      <c r="AD209" s="25">
        <v>144.80000000000001</v>
      </c>
      <c r="AE209" s="25"/>
      <c r="AF209" s="25">
        <v>130.80000000000001</v>
      </c>
      <c r="AG209" s="25"/>
      <c r="AH209" s="25">
        <v>140.1</v>
      </c>
      <c r="AI209" s="25"/>
      <c r="AJ209" s="25">
        <v>148</v>
      </c>
      <c r="AK209" s="25"/>
      <c r="AL209" s="25">
        <v>134.4</v>
      </c>
      <c r="AM209" s="25"/>
      <c r="AN209" s="25">
        <v>139.80000000000001</v>
      </c>
      <c r="AO209" s="25"/>
      <c r="AP209" s="25">
        <v>142.19999999999999</v>
      </c>
    </row>
    <row r="210" spans="1:42" hidden="1" x14ac:dyDescent="0.3">
      <c r="A210" s="25" t="s">
        <v>33</v>
      </c>
      <c r="B210" s="25">
        <v>2018</v>
      </c>
      <c r="C210" s="25" t="s">
        <v>43</v>
      </c>
      <c r="D210" s="26">
        <f>DATE(B210,MATCH(TRIM(C210),{"January","February","March","April","May","June","July","August","September","October","November","December"},0),1)</f>
        <v>43374</v>
      </c>
      <c r="E210" s="25">
        <v>137.6</v>
      </c>
      <c r="F210" s="25">
        <v>144.9</v>
      </c>
      <c r="G210" s="25">
        <v>133.5</v>
      </c>
      <c r="H210" s="25">
        <v>141.5</v>
      </c>
      <c r="I210" s="25">
        <v>118</v>
      </c>
      <c r="J210" s="25">
        <v>139.5</v>
      </c>
      <c r="K210" s="25">
        <v>153</v>
      </c>
      <c r="L210" s="25">
        <v>113.2</v>
      </c>
      <c r="M210" s="25">
        <v>112.8</v>
      </c>
      <c r="N210" s="25">
        <v>141.1</v>
      </c>
      <c r="O210" s="25">
        <v>127.6</v>
      </c>
      <c r="P210" s="25">
        <v>152</v>
      </c>
      <c r="Q210" s="25">
        <v>139.4</v>
      </c>
      <c r="R210" s="25"/>
      <c r="S210" s="25">
        <v>164</v>
      </c>
      <c r="T210" s="25"/>
      <c r="U210" s="25">
        <v>141.5</v>
      </c>
      <c r="V210" s="25">
        <v>129.80000000000001</v>
      </c>
      <c r="W210" s="25">
        <v>139.69999999999999</v>
      </c>
      <c r="X210" s="25"/>
      <c r="Y210" s="25">
        <v>146.30000000000001</v>
      </c>
      <c r="Z210" s="25">
        <v>133.4</v>
      </c>
      <c r="AA210" s="25"/>
      <c r="AB210" s="25">
        <v>135.1</v>
      </c>
      <c r="AC210" s="25"/>
      <c r="AD210" s="25">
        <v>136.19999999999999</v>
      </c>
      <c r="AE210" s="25"/>
      <c r="AF210" s="25">
        <v>123.3</v>
      </c>
      <c r="AG210" s="25"/>
      <c r="AH210" s="25">
        <v>130.69999999999999</v>
      </c>
      <c r="AI210" s="25"/>
      <c r="AJ210" s="25">
        <v>145.5</v>
      </c>
      <c r="AK210" s="25"/>
      <c r="AL210" s="25">
        <v>130.4</v>
      </c>
      <c r="AM210" s="25"/>
      <c r="AN210" s="25">
        <v>132.5</v>
      </c>
      <c r="AO210" s="25"/>
      <c r="AP210" s="25">
        <v>138.9</v>
      </c>
    </row>
    <row r="211" spans="1:42" hidden="1" x14ac:dyDescent="0.3">
      <c r="A211" s="25" t="s">
        <v>34</v>
      </c>
      <c r="B211" s="25">
        <v>2018</v>
      </c>
      <c r="C211" s="25" t="s">
        <v>43</v>
      </c>
      <c r="D211" s="26">
        <f>DATE(B211,MATCH(TRIM(C211),{"January","February","March","April","May","June","July","August","September","October","November","December"},0),1)</f>
        <v>43374</v>
      </c>
      <c r="E211" s="25">
        <v>137.4</v>
      </c>
      <c r="F211" s="25">
        <v>149.5</v>
      </c>
      <c r="G211" s="25">
        <v>137.30000000000001</v>
      </c>
      <c r="H211" s="25">
        <v>141.9</v>
      </c>
      <c r="I211" s="25">
        <v>121.1</v>
      </c>
      <c r="J211" s="25">
        <v>142.5</v>
      </c>
      <c r="K211" s="25">
        <v>146.69999999999999</v>
      </c>
      <c r="L211" s="25">
        <v>119.1</v>
      </c>
      <c r="M211" s="25">
        <v>111.9</v>
      </c>
      <c r="N211" s="25">
        <v>141</v>
      </c>
      <c r="O211" s="25">
        <v>133.6</v>
      </c>
      <c r="P211" s="25">
        <v>154.5</v>
      </c>
      <c r="Q211" s="25">
        <v>139.69999999999999</v>
      </c>
      <c r="R211" s="25"/>
      <c r="S211" s="25">
        <v>162.6</v>
      </c>
      <c r="T211" s="25"/>
      <c r="U211" s="25">
        <v>148</v>
      </c>
      <c r="V211" s="25">
        <v>139.19999999999999</v>
      </c>
      <c r="W211" s="25">
        <v>146.80000000000001</v>
      </c>
      <c r="X211" s="25"/>
      <c r="Y211" s="25">
        <v>146.9</v>
      </c>
      <c r="Z211" s="25">
        <v>145.30000000000001</v>
      </c>
      <c r="AA211" s="25"/>
      <c r="AB211" s="25">
        <v>142.19999999999999</v>
      </c>
      <c r="AC211" s="25"/>
      <c r="AD211" s="25">
        <v>142.1</v>
      </c>
      <c r="AE211" s="25"/>
      <c r="AF211" s="25">
        <v>125.5</v>
      </c>
      <c r="AG211" s="25"/>
      <c r="AH211" s="25">
        <v>136.5</v>
      </c>
      <c r="AI211" s="25"/>
      <c r="AJ211" s="25">
        <v>147.80000000000001</v>
      </c>
      <c r="AK211" s="25"/>
      <c r="AL211" s="25">
        <v>132</v>
      </c>
      <c r="AM211" s="25"/>
      <c r="AN211" s="25">
        <v>136.30000000000001</v>
      </c>
      <c r="AO211" s="25"/>
      <c r="AP211" s="25">
        <v>140.80000000000001</v>
      </c>
    </row>
    <row r="212" spans="1:42" hidden="1" x14ac:dyDescent="0.3">
      <c r="A212" s="25" t="s">
        <v>30</v>
      </c>
      <c r="B212" s="25">
        <v>2018</v>
      </c>
      <c r="C212" s="25" t="s">
        <v>45</v>
      </c>
      <c r="D212" s="26">
        <f>DATE(B212,MATCH(TRIM(C212),{"January","February","March","April","May","June","July","August","September","October","November","December"},0),1)</f>
        <v>43405</v>
      </c>
      <c r="E212" s="25">
        <v>137.1</v>
      </c>
      <c r="F212" s="25">
        <v>150.80000000000001</v>
      </c>
      <c r="G212" s="25">
        <v>136.69999999999999</v>
      </c>
      <c r="H212" s="25">
        <v>141.9</v>
      </c>
      <c r="I212" s="25">
        <v>122.8</v>
      </c>
      <c r="J212" s="25">
        <v>143.9</v>
      </c>
      <c r="K212" s="25">
        <v>147.5</v>
      </c>
      <c r="L212" s="25">
        <v>121</v>
      </c>
      <c r="M212" s="25">
        <v>111.6</v>
      </c>
      <c r="N212" s="25">
        <v>140.6</v>
      </c>
      <c r="O212" s="25">
        <v>137.5</v>
      </c>
      <c r="P212" s="25">
        <v>156.1</v>
      </c>
      <c r="Q212" s="25">
        <v>140</v>
      </c>
      <c r="R212" s="25"/>
      <c r="S212" s="25">
        <v>161.9</v>
      </c>
      <c r="T212" s="25"/>
      <c r="U212" s="25">
        <v>151.69999999999999</v>
      </c>
      <c r="V212" s="25">
        <v>145.5</v>
      </c>
      <c r="W212" s="25">
        <v>150.80000000000001</v>
      </c>
      <c r="X212" s="25"/>
      <c r="Y212" s="25" t="s">
        <v>32</v>
      </c>
      <c r="Z212" s="25">
        <v>150.30000000000001</v>
      </c>
      <c r="AA212" s="25"/>
      <c r="AB212" s="25">
        <v>148</v>
      </c>
      <c r="AC212" s="25"/>
      <c r="AD212" s="25">
        <v>145.4</v>
      </c>
      <c r="AE212" s="25"/>
      <c r="AF212" s="25">
        <v>130.30000000000001</v>
      </c>
      <c r="AG212" s="25"/>
      <c r="AH212" s="25">
        <v>143.1</v>
      </c>
      <c r="AI212" s="25"/>
      <c r="AJ212" s="25">
        <v>150.19999999999999</v>
      </c>
      <c r="AK212" s="25"/>
      <c r="AL212" s="25">
        <v>133.1</v>
      </c>
      <c r="AM212" s="25"/>
      <c r="AN212" s="25">
        <v>140.1</v>
      </c>
      <c r="AO212" s="25"/>
      <c r="AP212" s="25">
        <v>142.4</v>
      </c>
    </row>
    <row r="213" spans="1:42" hidden="1" x14ac:dyDescent="0.3">
      <c r="A213" s="25" t="s">
        <v>33</v>
      </c>
      <c r="B213" s="25">
        <v>2018</v>
      </c>
      <c r="C213" s="25" t="s">
        <v>45</v>
      </c>
      <c r="D213" s="26">
        <f>DATE(B213,MATCH(TRIM(C213),{"January","February","March","April","May","June","July","August","September","October","November","December"},0),1)</f>
        <v>43405</v>
      </c>
      <c r="E213" s="25">
        <v>138.1</v>
      </c>
      <c r="F213" s="25">
        <v>146.30000000000001</v>
      </c>
      <c r="G213" s="25">
        <v>137.80000000000001</v>
      </c>
      <c r="H213" s="25">
        <v>141.6</v>
      </c>
      <c r="I213" s="25">
        <v>118.1</v>
      </c>
      <c r="J213" s="25">
        <v>141.5</v>
      </c>
      <c r="K213" s="25">
        <v>145.19999999999999</v>
      </c>
      <c r="L213" s="25">
        <v>115.3</v>
      </c>
      <c r="M213" s="25">
        <v>112.5</v>
      </c>
      <c r="N213" s="25">
        <v>141.4</v>
      </c>
      <c r="O213" s="25">
        <v>128</v>
      </c>
      <c r="P213" s="25">
        <v>152.6</v>
      </c>
      <c r="Q213" s="25">
        <v>139.1</v>
      </c>
      <c r="R213" s="25"/>
      <c r="S213" s="25">
        <v>164.4</v>
      </c>
      <c r="T213" s="25"/>
      <c r="U213" s="25">
        <v>142.4</v>
      </c>
      <c r="V213" s="25">
        <v>130.19999999999999</v>
      </c>
      <c r="W213" s="25">
        <v>140.5</v>
      </c>
      <c r="X213" s="25"/>
      <c r="Y213" s="25">
        <v>146.9</v>
      </c>
      <c r="Z213" s="25">
        <v>136.69999999999999</v>
      </c>
      <c r="AA213" s="25"/>
      <c r="AB213" s="25">
        <v>135.80000000000001</v>
      </c>
      <c r="AC213" s="25"/>
      <c r="AD213" s="25">
        <v>136.80000000000001</v>
      </c>
      <c r="AE213" s="25"/>
      <c r="AF213" s="25">
        <v>121.2</v>
      </c>
      <c r="AG213" s="25"/>
      <c r="AH213" s="25">
        <v>131.30000000000001</v>
      </c>
      <c r="AI213" s="25"/>
      <c r="AJ213" s="25">
        <v>146.1</v>
      </c>
      <c r="AK213" s="25"/>
      <c r="AL213" s="25">
        <v>130.5</v>
      </c>
      <c r="AM213" s="25"/>
      <c r="AN213" s="25">
        <v>132.19999999999999</v>
      </c>
      <c r="AO213" s="25"/>
      <c r="AP213" s="25">
        <v>139</v>
      </c>
    </row>
    <row r="214" spans="1:42" hidden="1" x14ac:dyDescent="0.3">
      <c r="A214" s="25" t="s">
        <v>34</v>
      </c>
      <c r="B214" s="25">
        <v>2018</v>
      </c>
      <c r="C214" s="25" t="s">
        <v>45</v>
      </c>
      <c r="D214" s="26">
        <f>DATE(B214,MATCH(TRIM(C214),{"January","February","March","April","May","June","July","August","September","October","November","December"},0),1)</f>
        <v>43405</v>
      </c>
      <c r="E214" s="25">
        <v>137.4</v>
      </c>
      <c r="F214" s="25">
        <v>149.19999999999999</v>
      </c>
      <c r="G214" s="25">
        <v>137.1</v>
      </c>
      <c r="H214" s="25">
        <v>141.80000000000001</v>
      </c>
      <c r="I214" s="25">
        <v>121.1</v>
      </c>
      <c r="J214" s="25">
        <v>142.80000000000001</v>
      </c>
      <c r="K214" s="25">
        <v>146.69999999999999</v>
      </c>
      <c r="L214" s="25">
        <v>119.1</v>
      </c>
      <c r="M214" s="25">
        <v>111.9</v>
      </c>
      <c r="N214" s="25">
        <v>140.9</v>
      </c>
      <c r="O214" s="25">
        <v>133.5</v>
      </c>
      <c r="P214" s="25">
        <v>154.5</v>
      </c>
      <c r="Q214" s="25">
        <v>139.69999999999999</v>
      </c>
      <c r="R214" s="25"/>
      <c r="S214" s="25">
        <v>162.6</v>
      </c>
      <c r="T214" s="25"/>
      <c r="U214" s="25">
        <v>148</v>
      </c>
      <c r="V214" s="25">
        <v>139.1</v>
      </c>
      <c r="W214" s="25">
        <v>146.69999999999999</v>
      </c>
      <c r="X214" s="25"/>
      <c r="Y214" s="25">
        <v>146.9</v>
      </c>
      <c r="Z214" s="25">
        <v>145.1</v>
      </c>
      <c r="AA214" s="25"/>
      <c r="AB214" s="25">
        <v>142.19999999999999</v>
      </c>
      <c r="AC214" s="25"/>
      <c r="AD214" s="25">
        <v>142.1</v>
      </c>
      <c r="AE214" s="25"/>
      <c r="AF214" s="25">
        <v>125.5</v>
      </c>
      <c r="AG214" s="25"/>
      <c r="AH214" s="25">
        <v>136.5</v>
      </c>
      <c r="AI214" s="25"/>
      <c r="AJ214" s="25">
        <v>147.80000000000001</v>
      </c>
      <c r="AK214" s="25"/>
      <c r="AL214" s="25">
        <v>132</v>
      </c>
      <c r="AM214" s="25"/>
      <c r="AN214" s="25">
        <v>136.30000000000001</v>
      </c>
      <c r="AO214" s="25"/>
      <c r="AP214" s="25">
        <v>140.80000000000001</v>
      </c>
    </row>
    <row r="215" spans="1:42" hidden="1" x14ac:dyDescent="0.3">
      <c r="A215" s="25" t="s">
        <v>30</v>
      </c>
      <c r="B215" s="25">
        <v>2018</v>
      </c>
      <c r="C215" s="25" t="s">
        <v>46</v>
      </c>
      <c r="D215" s="26">
        <f>DATE(B215,MATCH(TRIM(C215),{"January","February","March","April","May","June","July","August","September","October","November","December"},0),1)</f>
        <v>43435</v>
      </c>
      <c r="E215" s="25">
        <v>137.1</v>
      </c>
      <c r="F215" s="25">
        <v>151.9</v>
      </c>
      <c r="G215" s="25">
        <v>137.4</v>
      </c>
      <c r="H215" s="25">
        <v>142.4</v>
      </c>
      <c r="I215" s="25">
        <v>124.2</v>
      </c>
      <c r="J215" s="25">
        <v>140.19999999999999</v>
      </c>
      <c r="K215" s="25">
        <v>136.6</v>
      </c>
      <c r="L215" s="25">
        <v>120.9</v>
      </c>
      <c r="M215" s="25">
        <v>109.9</v>
      </c>
      <c r="N215" s="25">
        <v>140.19999999999999</v>
      </c>
      <c r="O215" s="25">
        <v>137.80000000000001</v>
      </c>
      <c r="P215" s="25">
        <v>156</v>
      </c>
      <c r="Q215" s="25">
        <v>138.5</v>
      </c>
      <c r="R215" s="25"/>
      <c r="S215" s="25">
        <v>162.4</v>
      </c>
      <c r="T215" s="25"/>
      <c r="U215" s="25">
        <v>151.6</v>
      </c>
      <c r="V215" s="25">
        <v>145.9</v>
      </c>
      <c r="W215" s="25">
        <v>150.80000000000001</v>
      </c>
      <c r="X215" s="25"/>
      <c r="Y215" s="25" t="s">
        <v>32</v>
      </c>
      <c r="Z215" s="25">
        <v>149</v>
      </c>
      <c r="AA215" s="25"/>
      <c r="AB215" s="25">
        <v>149.5</v>
      </c>
      <c r="AC215" s="25"/>
      <c r="AD215" s="25">
        <v>149.6</v>
      </c>
      <c r="AE215" s="25"/>
      <c r="AF215" s="25">
        <v>128.9</v>
      </c>
      <c r="AG215" s="25"/>
      <c r="AH215" s="25">
        <v>143.30000000000001</v>
      </c>
      <c r="AI215" s="25"/>
      <c r="AJ215" s="25">
        <v>155.1</v>
      </c>
      <c r="AK215" s="25"/>
      <c r="AL215" s="25">
        <v>133.19999999999999</v>
      </c>
      <c r="AM215" s="25"/>
      <c r="AN215" s="25">
        <v>141.6</v>
      </c>
      <c r="AO215" s="25"/>
      <c r="AP215" s="25">
        <v>141.9</v>
      </c>
    </row>
    <row r="216" spans="1:42" hidden="1" x14ac:dyDescent="0.3">
      <c r="A216" s="25" t="s">
        <v>33</v>
      </c>
      <c r="B216" s="25">
        <v>2018</v>
      </c>
      <c r="C216" s="25" t="s">
        <v>46</v>
      </c>
      <c r="D216" s="26">
        <f>DATE(B216,MATCH(TRIM(C216),{"January","February","March","April","May","June","July","August","September","October","November","December"},0),1)</f>
        <v>43435</v>
      </c>
      <c r="E216" s="25">
        <v>138.5</v>
      </c>
      <c r="F216" s="25">
        <v>147.80000000000001</v>
      </c>
      <c r="G216" s="25">
        <v>141.1</v>
      </c>
      <c r="H216" s="25">
        <v>141.6</v>
      </c>
      <c r="I216" s="25">
        <v>118.1</v>
      </c>
      <c r="J216" s="25">
        <v>138.5</v>
      </c>
      <c r="K216" s="25">
        <v>132.4</v>
      </c>
      <c r="L216" s="25">
        <v>117.5</v>
      </c>
      <c r="M216" s="25">
        <v>111</v>
      </c>
      <c r="N216" s="25">
        <v>141.5</v>
      </c>
      <c r="O216" s="25">
        <v>128.1</v>
      </c>
      <c r="P216" s="25">
        <v>152.9</v>
      </c>
      <c r="Q216" s="25">
        <v>137.6</v>
      </c>
      <c r="R216" s="25"/>
      <c r="S216" s="25">
        <v>164.6</v>
      </c>
      <c r="T216" s="25"/>
      <c r="U216" s="25">
        <v>142.69999999999999</v>
      </c>
      <c r="V216" s="25">
        <v>130.30000000000001</v>
      </c>
      <c r="W216" s="25">
        <v>140.80000000000001</v>
      </c>
      <c r="X216" s="25"/>
      <c r="Y216" s="25">
        <v>146.5</v>
      </c>
      <c r="Z216" s="25">
        <v>132.4</v>
      </c>
      <c r="AA216" s="25"/>
      <c r="AB216" s="25">
        <v>136.19999999999999</v>
      </c>
      <c r="AC216" s="25"/>
      <c r="AD216" s="25">
        <v>137.30000000000001</v>
      </c>
      <c r="AE216" s="25"/>
      <c r="AF216" s="25">
        <v>118.8</v>
      </c>
      <c r="AG216" s="25"/>
      <c r="AH216" s="25">
        <v>131.69999999999999</v>
      </c>
      <c r="AI216" s="25"/>
      <c r="AJ216" s="25">
        <v>146.5</v>
      </c>
      <c r="AK216" s="25"/>
      <c r="AL216" s="25">
        <v>130.80000000000001</v>
      </c>
      <c r="AM216" s="25"/>
      <c r="AN216" s="25">
        <v>131.69999999999999</v>
      </c>
      <c r="AO216" s="25"/>
      <c r="AP216" s="25">
        <v>138</v>
      </c>
    </row>
    <row r="217" spans="1:42" hidden="1" x14ac:dyDescent="0.3">
      <c r="A217" s="25" t="s">
        <v>34</v>
      </c>
      <c r="B217" s="25">
        <v>2018</v>
      </c>
      <c r="C217" s="25" t="s">
        <v>46</v>
      </c>
      <c r="D217" s="26">
        <f>DATE(B217,MATCH(TRIM(C217),{"January","February","March","April","May","June","July","August","September","October","November","December"},0),1)</f>
        <v>43435</v>
      </c>
      <c r="E217" s="25">
        <v>137.5</v>
      </c>
      <c r="F217" s="25">
        <v>150.5</v>
      </c>
      <c r="G217" s="25">
        <v>138.80000000000001</v>
      </c>
      <c r="H217" s="25">
        <v>142.1</v>
      </c>
      <c r="I217" s="25">
        <v>122</v>
      </c>
      <c r="J217" s="25">
        <v>139.4</v>
      </c>
      <c r="K217" s="25">
        <v>135.19999999999999</v>
      </c>
      <c r="L217" s="25">
        <v>119.8</v>
      </c>
      <c r="M217" s="25">
        <v>110.3</v>
      </c>
      <c r="N217" s="25">
        <v>140.6</v>
      </c>
      <c r="O217" s="25">
        <v>133.80000000000001</v>
      </c>
      <c r="P217" s="25">
        <v>154.6</v>
      </c>
      <c r="Q217" s="25">
        <v>138.19999999999999</v>
      </c>
      <c r="R217" s="25"/>
      <c r="S217" s="25">
        <v>163</v>
      </c>
      <c r="T217" s="25"/>
      <c r="U217" s="25">
        <v>148.1</v>
      </c>
      <c r="V217" s="25">
        <v>139.4</v>
      </c>
      <c r="W217" s="25">
        <v>146.80000000000001</v>
      </c>
      <c r="X217" s="25"/>
      <c r="Y217" s="25">
        <v>146.5</v>
      </c>
      <c r="Z217" s="25">
        <v>142.69999999999999</v>
      </c>
      <c r="AA217" s="25"/>
      <c r="AB217" s="25">
        <v>143.19999999999999</v>
      </c>
      <c r="AC217" s="25"/>
      <c r="AD217" s="25">
        <v>144.9</v>
      </c>
      <c r="AE217" s="25"/>
      <c r="AF217" s="25">
        <v>123.6</v>
      </c>
      <c r="AG217" s="25"/>
      <c r="AH217" s="25">
        <v>136.80000000000001</v>
      </c>
      <c r="AI217" s="25"/>
      <c r="AJ217" s="25">
        <v>150.1</v>
      </c>
      <c r="AK217" s="25"/>
      <c r="AL217" s="25">
        <v>132.19999999999999</v>
      </c>
      <c r="AM217" s="25"/>
      <c r="AN217" s="25">
        <v>136.80000000000001</v>
      </c>
      <c r="AO217" s="25"/>
      <c r="AP217" s="25">
        <v>140.1</v>
      </c>
    </row>
    <row r="218" spans="1:42" hidden="1" x14ac:dyDescent="0.3">
      <c r="A218" s="25" t="s">
        <v>30</v>
      </c>
      <c r="B218" s="25">
        <v>2019</v>
      </c>
      <c r="C218" s="25" t="s">
        <v>31</v>
      </c>
      <c r="D218" s="26">
        <f>DATE(B218,MATCH(TRIM(C218),{"January","February","March","April","May","June","July","August","September","October","November","December"},0),1)</f>
        <v>43466</v>
      </c>
      <c r="E218" s="25">
        <v>136.6</v>
      </c>
      <c r="F218" s="25">
        <v>152.5</v>
      </c>
      <c r="G218" s="25">
        <v>138.19999999999999</v>
      </c>
      <c r="H218" s="25">
        <v>142.4</v>
      </c>
      <c r="I218" s="25">
        <v>123.9</v>
      </c>
      <c r="J218" s="25">
        <v>135.5</v>
      </c>
      <c r="K218" s="25">
        <v>131.69999999999999</v>
      </c>
      <c r="L218" s="25">
        <v>121.3</v>
      </c>
      <c r="M218" s="25">
        <v>108.4</v>
      </c>
      <c r="N218" s="25">
        <v>138.9</v>
      </c>
      <c r="O218" s="25">
        <v>137</v>
      </c>
      <c r="P218" s="25">
        <v>155.80000000000001</v>
      </c>
      <c r="Q218" s="25">
        <v>137.4</v>
      </c>
      <c r="R218" s="25"/>
      <c r="S218" s="25">
        <v>162.69999999999999</v>
      </c>
      <c r="T218" s="25"/>
      <c r="U218" s="25">
        <v>150.6</v>
      </c>
      <c r="V218" s="25">
        <v>145.1</v>
      </c>
      <c r="W218" s="25">
        <v>149.9</v>
      </c>
      <c r="X218" s="25"/>
      <c r="Y218" s="25" t="s">
        <v>32</v>
      </c>
      <c r="Z218" s="25">
        <v>146.19999999999999</v>
      </c>
      <c r="AA218" s="25"/>
      <c r="AB218" s="25">
        <v>150.1</v>
      </c>
      <c r="AC218" s="25"/>
      <c r="AD218" s="25">
        <v>149.6</v>
      </c>
      <c r="AE218" s="25"/>
      <c r="AF218" s="25">
        <v>128.6</v>
      </c>
      <c r="AG218" s="25"/>
      <c r="AH218" s="25">
        <v>142.9</v>
      </c>
      <c r="AI218" s="25"/>
      <c r="AJ218" s="25">
        <v>155.19999999999999</v>
      </c>
      <c r="AK218" s="25"/>
      <c r="AL218" s="25">
        <v>133.5</v>
      </c>
      <c r="AM218" s="25"/>
      <c r="AN218" s="25">
        <v>141.69999999999999</v>
      </c>
      <c r="AO218" s="25"/>
      <c r="AP218" s="25">
        <v>141</v>
      </c>
    </row>
    <row r="219" spans="1:42" hidden="1" x14ac:dyDescent="0.3">
      <c r="A219" s="25" t="s">
        <v>33</v>
      </c>
      <c r="B219" s="25">
        <v>2019</v>
      </c>
      <c r="C219" s="25" t="s">
        <v>31</v>
      </c>
      <c r="D219" s="26">
        <f>DATE(B219,MATCH(TRIM(C219),{"January","February","March","April","May","June","July","August","September","October","November","December"},0),1)</f>
        <v>43466</v>
      </c>
      <c r="E219" s="25">
        <v>138.30000000000001</v>
      </c>
      <c r="F219" s="25">
        <v>149.4</v>
      </c>
      <c r="G219" s="25">
        <v>143.5</v>
      </c>
      <c r="H219" s="25">
        <v>141.69999999999999</v>
      </c>
      <c r="I219" s="25">
        <v>118.1</v>
      </c>
      <c r="J219" s="25">
        <v>135.19999999999999</v>
      </c>
      <c r="K219" s="25">
        <v>130.5</v>
      </c>
      <c r="L219" s="25">
        <v>118.2</v>
      </c>
      <c r="M219" s="25">
        <v>110.4</v>
      </c>
      <c r="N219" s="25">
        <v>140.4</v>
      </c>
      <c r="O219" s="25">
        <v>128.1</v>
      </c>
      <c r="P219" s="25">
        <v>153.19999999999999</v>
      </c>
      <c r="Q219" s="25">
        <v>137.30000000000001</v>
      </c>
      <c r="R219" s="25"/>
      <c r="S219" s="25">
        <v>164.7</v>
      </c>
      <c r="T219" s="25"/>
      <c r="U219" s="25">
        <v>143</v>
      </c>
      <c r="V219" s="25">
        <v>130.4</v>
      </c>
      <c r="W219" s="25">
        <v>141.1</v>
      </c>
      <c r="X219" s="25"/>
      <c r="Y219" s="25">
        <v>147.69999999999999</v>
      </c>
      <c r="Z219" s="25">
        <v>128.6</v>
      </c>
      <c r="AA219" s="25"/>
      <c r="AB219" s="25">
        <v>136.30000000000001</v>
      </c>
      <c r="AC219" s="25"/>
      <c r="AD219" s="25">
        <v>137.80000000000001</v>
      </c>
      <c r="AE219" s="25"/>
      <c r="AF219" s="25">
        <v>118.6</v>
      </c>
      <c r="AG219" s="25"/>
      <c r="AH219" s="25">
        <v>131.9</v>
      </c>
      <c r="AI219" s="25"/>
      <c r="AJ219" s="25">
        <v>146.6</v>
      </c>
      <c r="AK219" s="25"/>
      <c r="AL219" s="25">
        <v>131.69999999999999</v>
      </c>
      <c r="AM219" s="25"/>
      <c r="AN219" s="25">
        <v>131.80000000000001</v>
      </c>
      <c r="AO219" s="25"/>
      <c r="AP219" s="25">
        <v>138</v>
      </c>
    </row>
    <row r="220" spans="1:42" hidden="1" x14ac:dyDescent="0.3">
      <c r="A220" s="25" t="s">
        <v>34</v>
      </c>
      <c r="B220" s="25">
        <v>2019</v>
      </c>
      <c r="C220" s="25" t="s">
        <v>31</v>
      </c>
      <c r="D220" s="26">
        <f>DATE(B220,MATCH(TRIM(C220),{"January","February","March","April","May","June","July","August","September","October","November","December"},0),1)</f>
        <v>43466</v>
      </c>
      <c r="E220" s="25">
        <v>137.1</v>
      </c>
      <c r="F220" s="25">
        <v>151.4</v>
      </c>
      <c r="G220" s="25">
        <v>140.19999999999999</v>
      </c>
      <c r="H220" s="25">
        <v>142.1</v>
      </c>
      <c r="I220" s="25">
        <v>121.8</v>
      </c>
      <c r="J220" s="25">
        <v>135.4</v>
      </c>
      <c r="K220" s="25">
        <v>131.30000000000001</v>
      </c>
      <c r="L220" s="25">
        <v>120.3</v>
      </c>
      <c r="M220" s="25">
        <v>109.1</v>
      </c>
      <c r="N220" s="25">
        <v>139.4</v>
      </c>
      <c r="O220" s="25">
        <v>133.30000000000001</v>
      </c>
      <c r="P220" s="25">
        <v>154.6</v>
      </c>
      <c r="Q220" s="25">
        <v>137.4</v>
      </c>
      <c r="R220" s="25"/>
      <c r="S220" s="25">
        <v>163.19999999999999</v>
      </c>
      <c r="T220" s="25"/>
      <c r="U220" s="25">
        <v>147.6</v>
      </c>
      <c r="V220" s="25">
        <v>139</v>
      </c>
      <c r="W220" s="25">
        <v>146.4</v>
      </c>
      <c r="X220" s="25"/>
      <c r="Y220" s="25">
        <v>147.69999999999999</v>
      </c>
      <c r="Z220" s="25">
        <v>139.5</v>
      </c>
      <c r="AA220" s="25"/>
      <c r="AB220" s="25">
        <v>143.6</v>
      </c>
      <c r="AC220" s="25"/>
      <c r="AD220" s="25">
        <v>145.1</v>
      </c>
      <c r="AE220" s="25"/>
      <c r="AF220" s="25">
        <v>123.3</v>
      </c>
      <c r="AG220" s="25"/>
      <c r="AH220" s="25">
        <v>136.69999999999999</v>
      </c>
      <c r="AI220" s="25"/>
      <c r="AJ220" s="25">
        <v>150.19999999999999</v>
      </c>
      <c r="AK220" s="25"/>
      <c r="AL220" s="25">
        <v>132.80000000000001</v>
      </c>
      <c r="AM220" s="25"/>
      <c r="AN220" s="25">
        <v>136.9</v>
      </c>
      <c r="AO220" s="25"/>
      <c r="AP220" s="25">
        <v>139.6</v>
      </c>
    </row>
    <row r="221" spans="1:42" hidden="1" x14ac:dyDescent="0.3">
      <c r="A221" s="25" t="s">
        <v>30</v>
      </c>
      <c r="B221" s="25">
        <v>2019</v>
      </c>
      <c r="C221" s="25" t="s">
        <v>35</v>
      </c>
      <c r="D221" s="26">
        <f>DATE(B221,MATCH(TRIM(C221),{"January","February","March","April","May","June","July","August","September","October","November","December"},0),1)</f>
        <v>43497</v>
      </c>
      <c r="E221" s="25">
        <v>136.80000000000001</v>
      </c>
      <c r="F221" s="25">
        <v>153</v>
      </c>
      <c r="G221" s="25">
        <v>139.1</v>
      </c>
      <c r="H221" s="25">
        <v>142.5</v>
      </c>
      <c r="I221" s="25">
        <v>124.1</v>
      </c>
      <c r="J221" s="25">
        <v>135.80000000000001</v>
      </c>
      <c r="K221" s="25">
        <v>128.69999999999999</v>
      </c>
      <c r="L221" s="25">
        <v>121.5</v>
      </c>
      <c r="M221" s="25">
        <v>108.3</v>
      </c>
      <c r="N221" s="25">
        <v>139.19999999999999</v>
      </c>
      <c r="O221" s="25">
        <v>137.4</v>
      </c>
      <c r="P221" s="25">
        <v>156.19999999999999</v>
      </c>
      <c r="Q221" s="25">
        <v>137.19999999999999</v>
      </c>
      <c r="R221" s="25"/>
      <c r="S221" s="25">
        <v>162.80000000000001</v>
      </c>
      <c r="T221" s="25"/>
      <c r="U221" s="25">
        <v>150.5</v>
      </c>
      <c r="V221" s="25">
        <v>146.1</v>
      </c>
      <c r="W221" s="25">
        <v>149.9</v>
      </c>
      <c r="X221" s="25"/>
      <c r="Y221" s="25" t="s">
        <v>32</v>
      </c>
      <c r="Z221" s="25">
        <v>145.30000000000001</v>
      </c>
      <c r="AA221" s="25"/>
      <c r="AB221" s="25">
        <v>150.1</v>
      </c>
      <c r="AC221" s="25"/>
      <c r="AD221" s="25">
        <v>149.9</v>
      </c>
      <c r="AE221" s="25"/>
      <c r="AF221" s="25">
        <v>129.19999999999999</v>
      </c>
      <c r="AG221" s="25"/>
      <c r="AH221" s="25">
        <v>143.4</v>
      </c>
      <c r="AI221" s="25"/>
      <c r="AJ221" s="25">
        <v>155.5</v>
      </c>
      <c r="AK221" s="25"/>
      <c r="AL221" s="25">
        <v>134.9</v>
      </c>
      <c r="AM221" s="25"/>
      <c r="AN221" s="25">
        <v>142.19999999999999</v>
      </c>
      <c r="AO221" s="25"/>
      <c r="AP221" s="25">
        <v>141</v>
      </c>
    </row>
    <row r="222" spans="1:42" hidden="1" x14ac:dyDescent="0.3">
      <c r="A222" s="25" t="s">
        <v>33</v>
      </c>
      <c r="B222" s="25">
        <v>2019</v>
      </c>
      <c r="C222" s="25" t="s">
        <v>35</v>
      </c>
      <c r="D222" s="26">
        <f>DATE(B222,MATCH(TRIM(C222),{"January","February","March","April","May","June","July","August","September","October","November","December"},0),1)</f>
        <v>43497</v>
      </c>
      <c r="E222" s="25">
        <v>139.4</v>
      </c>
      <c r="F222" s="25">
        <v>150.1</v>
      </c>
      <c r="G222" s="25">
        <v>145.30000000000001</v>
      </c>
      <c r="H222" s="25">
        <v>141.69999999999999</v>
      </c>
      <c r="I222" s="25">
        <v>118.4</v>
      </c>
      <c r="J222" s="25">
        <v>137</v>
      </c>
      <c r="K222" s="25">
        <v>131.6</v>
      </c>
      <c r="L222" s="25">
        <v>119.9</v>
      </c>
      <c r="M222" s="25">
        <v>110.4</v>
      </c>
      <c r="N222" s="25">
        <v>140.80000000000001</v>
      </c>
      <c r="O222" s="25">
        <v>128.30000000000001</v>
      </c>
      <c r="P222" s="25">
        <v>153.5</v>
      </c>
      <c r="Q222" s="25">
        <v>138</v>
      </c>
      <c r="R222" s="25"/>
      <c r="S222" s="25">
        <v>164.9</v>
      </c>
      <c r="T222" s="25"/>
      <c r="U222" s="25">
        <v>143.30000000000001</v>
      </c>
      <c r="V222" s="25">
        <v>130.80000000000001</v>
      </c>
      <c r="W222" s="25">
        <v>141.4</v>
      </c>
      <c r="X222" s="25"/>
      <c r="Y222" s="25">
        <v>148.5</v>
      </c>
      <c r="Z222" s="25">
        <v>127.1</v>
      </c>
      <c r="AA222" s="25"/>
      <c r="AB222" s="25">
        <v>136.6</v>
      </c>
      <c r="AC222" s="25"/>
      <c r="AD222" s="25">
        <v>138.5</v>
      </c>
      <c r="AE222" s="25"/>
      <c r="AF222" s="25">
        <v>119.2</v>
      </c>
      <c r="AG222" s="25"/>
      <c r="AH222" s="25">
        <v>132.19999999999999</v>
      </c>
      <c r="AI222" s="25"/>
      <c r="AJ222" s="25">
        <v>146.6</v>
      </c>
      <c r="AK222" s="25"/>
      <c r="AL222" s="25">
        <v>133</v>
      </c>
      <c r="AM222" s="25"/>
      <c r="AN222" s="25">
        <v>132.4</v>
      </c>
      <c r="AO222" s="25"/>
      <c r="AP222" s="25">
        <v>138.6</v>
      </c>
    </row>
    <row r="223" spans="1:42" hidden="1" x14ac:dyDescent="0.3">
      <c r="A223" s="25" t="s">
        <v>34</v>
      </c>
      <c r="B223" s="25">
        <v>2019</v>
      </c>
      <c r="C223" s="25" t="s">
        <v>35</v>
      </c>
      <c r="D223" s="26">
        <f>DATE(B223,MATCH(TRIM(C223),{"January","February","March","April","May","June","July","August","September","October","November","December"},0),1)</f>
        <v>43497</v>
      </c>
      <c r="E223" s="25">
        <v>137.6</v>
      </c>
      <c r="F223" s="25">
        <v>152</v>
      </c>
      <c r="G223" s="25">
        <v>141.5</v>
      </c>
      <c r="H223" s="25">
        <v>142.19999999999999</v>
      </c>
      <c r="I223" s="25">
        <v>122</v>
      </c>
      <c r="J223" s="25">
        <v>136.4</v>
      </c>
      <c r="K223" s="25">
        <v>129.69999999999999</v>
      </c>
      <c r="L223" s="25">
        <v>121</v>
      </c>
      <c r="M223" s="25">
        <v>109</v>
      </c>
      <c r="N223" s="25">
        <v>139.69999999999999</v>
      </c>
      <c r="O223" s="25">
        <v>133.6</v>
      </c>
      <c r="P223" s="25">
        <v>154.9</v>
      </c>
      <c r="Q223" s="25">
        <v>137.5</v>
      </c>
      <c r="R223" s="25"/>
      <c r="S223" s="25">
        <v>163.4</v>
      </c>
      <c r="T223" s="25"/>
      <c r="U223" s="25">
        <v>147.69999999999999</v>
      </c>
      <c r="V223" s="25">
        <v>139.69999999999999</v>
      </c>
      <c r="W223" s="25">
        <v>146.5</v>
      </c>
      <c r="X223" s="25"/>
      <c r="Y223" s="25">
        <v>148.5</v>
      </c>
      <c r="Z223" s="25">
        <v>138.4</v>
      </c>
      <c r="AA223" s="25"/>
      <c r="AB223" s="25">
        <v>143.69999999999999</v>
      </c>
      <c r="AC223" s="25"/>
      <c r="AD223" s="25">
        <v>145.6</v>
      </c>
      <c r="AE223" s="25"/>
      <c r="AF223" s="25">
        <v>123.9</v>
      </c>
      <c r="AG223" s="25"/>
      <c r="AH223" s="25">
        <v>137.1</v>
      </c>
      <c r="AI223" s="25"/>
      <c r="AJ223" s="25">
        <v>150.30000000000001</v>
      </c>
      <c r="AK223" s="25"/>
      <c r="AL223" s="25">
        <v>134.1</v>
      </c>
      <c r="AM223" s="25"/>
      <c r="AN223" s="25">
        <v>137.4</v>
      </c>
      <c r="AO223" s="25"/>
      <c r="AP223" s="25">
        <v>139.9</v>
      </c>
    </row>
    <row r="224" spans="1:42" hidden="1" x14ac:dyDescent="0.3">
      <c r="A224" s="25" t="s">
        <v>30</v>
      </c>
      <c r="B224" s="25">
        <v>2019</v>
      </c>
      <c r="C224" s="25" t="s">
        <v>36</v>
      </c>
      <c r="D224" s="26">
        <f>DATE(B224,MATCH(TRIM(C224),{"January","February","March","April","May","June","July","August","September","October","November","December"},0),1)</f>
        <v>43525</v>
      </c>
      <c r="E224" s="25">
        <v>136.9</v>
      </c>
      <c r="F224" s="25">
        <v>154.1</v>
      </c>
      <c r="G224" s="25">
        <v>138.69999999999999</v>
      </c>
      <c r="H224" s="25">
        <v>142.5</v>
      </c>
      <c r="I224" s="25">
        <v>124.1</v>
      </c>
      <c r="J224" s="25">
        <v>136.1</v>
      </c>
      <c r="K224" s="25">
        <v>128.19999999999999</v>
      </c>
      <c r="L224" s="25">
        <v>122.3</v>
      </c>
      <c r="M224" s="25">
        <v>108.3</v>
      </c>
      <c r="N224" s="25">
        <v>138.9</v>
      </c>
      <c r="O224" s="25">
        <v>137.4</v>
      </c>
      <c r="P224" s="25">
        <v>156.4</v>
      </c>
      <c r="Q224" s="25">
        <v>137.30000000000001</v>
      </c>
      <c r="R224" s="25"/>
      <c r="S224" s="25">
        <v>162.9</v>
      </c>
      <c r="T224" s="25"/>
      <c r="U224" s="25">
        <v>150.80000000000001</v>
      </c>
      <c r="V224" s="25">
        <v>146.1</v>
      </c>
      <c r="W224" s="25">
        <v>150.1</v>
      </c>
      <c r="X224" s="25"/>
      <c r="Y224" s="25" t="s">
        <v>32</v>
      </c>
      <c r="Z224" s="25">
        <v>146.4</v>
      </c>
      <c r="AA224" s="25"/>
      <c r="AB224" s="25">
        <v>150</v>
      </c>
      <c r="AC224" s="25"/>
      <c r="AD224" s="25">
        <v>150.4</v>
      </c>
      <c r="AE224" s="25"/>
      <c r="AF224" s="25">
        <v>129.9</v>
      </c>
      <c r="AG224" s="25"/>
      <c r="AH224" s="25">
        <v>143.80000000000001</v>
      </c>
      <c r="AI224" s="25"/>
      <c r="AJ224" s="25">
        <v>155.5</v>
      </c>
      <c r="AK224" s="25"/>
      <c r="AL224" s="25">
        <v>134</v>
      </c>
      <c r="AM224" s="25"/>
      <c r="AN224" s="25">
        <v>142.4</v>
      </c>
      <c r="AO224" s="25"/>
      <c r="AP224" s="25">
        <v>141.19999999999999</v>
      </c>
    </row>
    <row r="225" spans="1:42" hidden="1" x14ac:dyDescent="0.3">
      <c r="A225" s="25" t="s">
        <v>33</v>
      </c>
      <c r="B225" s="25">
        <v>2019</v>
      </c>
      <c r="C225" s="25" t="s">
        <v>36</v>
      </c>
      <c r="D225" s="26">
        <f>DATE(B225,MATCH(TRIM(C225),{"January","February","March","April","May","June","July","August","September","October","November","December"},0),1)</f>
        <v>43525</v>
      </c>
      <c r="E225" s="25">
        <v>139.69999999999999</v>
      </c>
      <c r="F225" s="25">
        <v>151.1</v>
      </c>
      <c r="G225" s="25">
        <v>142.9</v>
      </c>
      <c r="H225" s="25">
        <v>141.9</v>
      </c>
      <c r="I225" s="25">
        <v>118.4</v>
      </c>
      <c r="J225" s="25">
        <v>139.4</v>
      </c>
      <c r="K225" s="25">
        <v>141.19999999999999</v>
      </c>
      <c r="L225" s="25">
        <v>120.7</v>
      </c>
      <c r="M225" s="25">
        <v>110.4</v>
      </c>
      <c r="N225" s="25">
        <v>140.69999999999999</v>
      </c>
      <c r="O225" s="25">
        <v>128.5</v>
      </c>
      <c r="P225" s="25">
        <v>153.9</v>
      </c>
      <c r="Q225" s="25">
        <v>139.6</v>
      </c>
      <c r="R225" s="25"/>
      <c r="S225" s="25">
        <v>165.3</v>
      </c>
      <c r="T225" s="25"/>
      <c r="U225" s="25">
        <v>143.5</v>
      </c>
      <c r="V225" s="25">
        <v>131.19999999999999</v>
      </c>
      <c r="W225" s="25">
        <v>141.6</v>
      </c>
      <c r="X225" s="25"/>
      <c r="Y225" s="25">
        <v>149</v>
      </c>
      <c r="Z225" s="25">
        <v>128.80000000000001</v>
      </c>
      <c r="AA225" s="25"/>
      <c r="AB225" s="25">
        <v>136.80000000000001</v>
      </c>
      <c r="AC225" s="25"/>
      <c r="AD225" s="25">
        <v>139.19999999999999</v>
      </c>
      <c r="AE225" s="25"/>
      <c r="AF225" s="25">
        <v>119.9</v>
      </c>
      <c r="AG225" s="25"/>
      <c r="AH225" s="25">
        <v>133</v>
      </c>
      <c r="AI225" s="25"/>
      <c r="AJ225" s="25">
        <v>146.69999999999999</v>
      </c>
      <c r="AK225" s="25"/>
      <c r="AL225" s="25">
        <v>132.5</v>
      </c>
      <c r="AM225" s="25"/>
      <c r="AN225" s="25">
        <v>132.80000000000001</v>
      </c>
      <c r="AO225" s="25"/>
      <c r="AP225" s="25">
        <v>139.5</v>
      </c>
    </row>
    <row r="226" spans="1:42" hidden="1" x14ac:dyDescent="0.3">
      <c r="A226" s="25" t="s">
        <v>34</v>
      </c>
      <c r="B226" s="25">
        <v>2019</v>
      </c>
      <c r="C226" s="25" t="s">
        <v>36</v>
      </c>
      <c r="D226" s="26">
        <f>DATE(B226,MATCH(TRIM(C226),{"January","February","March","April","May","June","July","August","September","October","November","December"},0),1)</f>
        <v>43525</v>
      </c>
      <c r="E226" s="25">
        <v>137.80000000000001</v>
      </c>
      <c r="F226" s="25">
        <v>153</v>
      </c>
      <c r="G226" s="25">
        <v>140.30000000000001</v>
      </c>
      <c r="H226" s="25">
        <v>142.30000000000001</v>
      </c>
      <c r="I226" s="25">
        <v>122</v>
      </c>
      <c r="J226" s="25">
        <v>137.6</v>
      </c>
      <c r="K226" s="25">
        <v>132.6</v>
      </c>
      <c r="L226" s="25">
        <v>121.8</v>
      </c>
      <c r="M226" s="25">
        <v>109</v>
      </c>
      <c r="N226" s="25">
        <v>139.5</v>
      </c>
      <c r="O226" s="25">
        <v>133.69999999999999</v>
      </c>
      <c r="P226" s="25">
        <v>155.19999999999999</v>
      </c>
      <c r="Q226" s="25">
        <v>138.1</v>
      </c>
      <c r="R226" s="25"/>
      <c r="S226" s="25">
        <v>163.5</v>
      </c>
      <c r="T226" s="25"/>
      <c r="U226" s="25">
        <v>147.9</v>
      </c>
      <c r="V226" s="25">
        <v>139.9</v>
      </c>
      <c r="W226" s="25">
        <v>146.69999999999999</v>
      </c>
      <c r="X226" s="25"/>
      <c r="Y226" s="25">
        <v>149</v>
      </c>
      <c r="Z226" s="25">
        <v>139.69999999999999</v>
      </c>
      <c r="AA226" s="25"/>
      <c r="AB226" s="25">
        <v>143.80000000000001</v>
      </c>
      <c r="AC226" s="25"/>
      <c r="AD226" s="25">
        <v>146.19999999999999</v>
      </c>
      <c r="AE226" s="25"/>
      <c r="AF226" s="25">
        <v>124.6</v>
      </c>
      <c r="AG226" s="25"/>
      <c r="AH226" s="25">
        <v>137.69999999999999</v>
      </c>
      <c r="AI226" s="25"/>
      <c r="AJ226" s="25">
        <v>150.30000000000001</v>
      </c>
      <c r="AK226" s="25"/>
      <c r="AL226" s="25">
        <v>133.4</v>
      </c>
      <c r="AM226" s="25"/>
      <c r="AN226" s="25">
        <v>137.69999999999999</v>
      </c>
      <c r="AO226" s="25"/>
      <c r="AP226" s="25">
        <v>140.4</v>
      </c>
    </row>
    <row r="227" spans="1:42" hidden="1" x14ac:dyDescent="0.3">
      <c r="A227" s="25" t="s">
        <v>30</v>
      </c>
      <c r="B227" s="25">
        <v>2019</v>
      </c>
      <c r="C227" s="25" t="s">
        <v>38</v>
      </c>
      <c r="D227" s="26">
        <f>DATE(B227,MATCH(TRIM(C227),{"January","February","March","April","May","June","July","August","September","October","November","December"},0),1)</f>
        <v>43586</v>
      </c>
      <c r="E227" s="25">
        <v>137.4</v>
      </c>
      <c r="F227" s="25">
        <v>159.5</v>
      </c>
      <c r="G227" s="25">
        <v>134.5</v>
      </c>
      <c r="H227" s="25">
        <v>142.6</v>
      </c>
      <c r="I227" s="25">
        <v>124</v>
      </c>
      <c r="J227" s="25">
        <v>143.69999999999999</v>
      </c>
      <c r="K227" s="25">
        <v>133.4</v>
      </c>
      <c r="L227" s="25">
        <v>125.1</v>
      </c>
      <c r="M227" s="25">
        <v>109.3</v>
      </c>
      <c r="N227" s="25">
        <v>139.30000000000001</v>
      </c>
      <c r="O227" s="25">
        <v>137.69999999999999</v>
      </c>
      <c r="P227" s="25">
        <v>156.4</v>
      </c>
      <c r="Q227" s="25">
        <v>139.19999999999999</v>
      </c>
      <c r="R227" s="25"/>
      <c r="S227" s="25">
        <v>163.30000000000001</v>
      </c>
      <c r="T227" s="25"/>
      <c r="U227" s="25">
        <v>151.30000000000001</v>
      </c>
      <c r="V227" s="25">
        <v>146.6</v>
      </c>
      <c r="W227" s="25">
        <v>150.69999999999999</v>
      </c>
      <c r="X227" s="25"/>
      <c r="Y227" s="25" t="s">
        <v>32</v>
      </c>
      <c r="Z227" s="25">
        <v>146.9</v>
      </c>
      <c r="AA227" s="25"/>
      <c r="AB227" s="25">
        <v>149.5</v>
      </c>
      <c r="AC227" s="25"/>
      <c r="AD227" s="25">
        <v>151.30000000000001</v>
      </c>
      <c r="AE227" s="25"/>
      <c r="AF227" s="25">
        <v>130.19999999999999</v>
      </c>
      <c r="AG227" s="25"/>
      <c r="AH227" s="25">
        <v>145.9</v>
      </c>
      <c r="AI227" s="25"/>
      <c r="AJ227" s="25">
        <v>156.69999999999999</v>
      </c>
      <c r="AK227" s="25"/>
      <c r="AL227" s="25">
        <v>133.9</v>
      </c>
      <c r="AM227" s="25"/>
      <c r="AN227" s="25">
        <v>142.9</v>
      </c>
      <c r="AO227" s="25"/>
      <c r="AP227" s="25">
        <v>142.4</v>
      </c>
    </row>
    <row r="228" spans="1:42" hidden="1" x14ac:dyDescent="0.3">
      <c r="A228" s="25" t="s">
        <v>33</v>
      </c>
      <c r="B228" s="25">
        <v>2019</v>
      </c>
      <c r="C228" s="25" t="s">
        <v>38</v>
      </c>
      <c r="D228" s="26">
        <f>DATE(B228,MATCH(TRIM(C228),{"January","February","March","April","May","June","July","August","September","October","November","December"},0),1)</f>
        <v>43586</v>
      </c>
      <c r="E228" s="25">
        <v>140.4</v>
      </c>
      <c r="F228" s="25">
        <v>156.69999999999999</v>
      </c>
      <c r="G228" s="25">
        <v>138.30000000000001</v>
      </c>
      <c r="H228" s="25">
        <v>142.4</v>
      </c>
      <c r="I228" s="25">
        <v>118.6</v>
      </c>
      <c r="J228" s="25">
        <v>149.69999999999999</v>
      </c>
      <c r="K228" s="25">
        <v>161.6</v>
      </c>
      <c r="L228" s="25">
        <v>124.4</v>
      </c>
      <c r="M228" s="25">
        <v>111.2</v>
      </c>
      <c r="N228" s="25">
        <v>141</v>
      </c>
      <c r="O228" s="25">
        <v>128.9</v>
      </c>
      <c r="P228" s="25">
        <v>154.5</v>
      </c>
      <c r="Q228" s="25">
        <v>143.80000000000001</v>
      </c>
      <c r="R228" s="25"/>
      <c r="S228" s="25">
        <v>166.2</v>
      </c>
      <c r="T228" s="25"/>
      <c r="U228" s="25">
        <v>144</v>
      </c>
      <c r="V228" s="25">
        <v>131.69999999999999</v>
      </c>
      <c r="W228" s="25">
        <v>142.19999999999999</v>
      </c>
      <c r="X228" s="25"/>
      <c r="Y228" s="25">
        <v>150.1</v>
      </c>
      <c r="Z228" s="25">
        <v>129.4</v>
      </c>
      <c r="AA228" s="25"/>
      <c r="AB228" s="25">
        <v>137.19999999999999</v>
      </c>
      <c r="AC228" s="25"/>
      <c r="AD228" s="25">
        <v>139.80000000000001</v>
      </c>
      <c r="AE228" s="25"/>
      <c r="AF228" s="25">
        <v>120.1</v>
      </c>
      <c r="AG228" s="25"/>
      <c r="AH228" s="25">
        <v>134</v>
      </c>
      <c r="AI228" s="25"/>
      <c r="AJ228" s="25">
        <v>148</v>
      </c>
      <c r="AK228" s="25"/>
      <c r="AL228" s="25">
        <v>132.6</v>
      </c>
      <c r="AM228" s="25"/>
      <c r="AN228" s="25">
        <v>133.30000000000001</v>
      </c>
      <c r="AO228" s="25"/>
      <c r="AP228" s="25">
        <v>141.5</v>
      </c>
    </row>
    <row r="229" spans="1:42" hidden="1" x14ac:dyDescent="0.3">
      <c r="A229" s="25" t="s">
        <v>34</v>
      </c>
      <c r="B229" s="25">
        <v>2019</v>
      </c>
      <c r="C229" s="25" t="s">
        <v>38</v>
      </c>
      <c r="D229" s="26">
        <f>DATE(B229,MATCH(TRIM(C229),{"January","February","March","April","May","June","July","August","September","October","November","December"},0),1)</f>
        <v>43586</v>
      </c>
      <c r="E229" s="25">
        <v>138.30000000000001</v>
      </c>
      <c r="F229" s="25">
        <v>158.5</v>
      </c>
      <c r="G229" s="25">
        <v>136</v>
      </c>
      <c r="H229" s="25">
        <v>142.5</v>
      </c>
      <c r="I229" s="25">
        <v>122</v>
      </c>
      <c r="J229" s="25">
        <v>146.5</v>
      </c>
      <c r="K229" s="25">
        <v>143</v>
      </c>
      <c r="L229" s="25">
        <v>124.9</v>
      </c>
      <c r="M229" s="25">
        <v>109.9</v>
      </c>
      <c r="N229" s="25">
        <v>139.9</v>
      </c>
      <c r="O229" s="25">
        <v>134</v>
      </c>
      <c r="P229" s="25">
        <v>155.5</v>
      </c>
      <c r="Q229" s="25">
        <v>140.9</v>
      </c>
      <c r="R229" s="25"/>
      <c r="S229" s="25">
        <v>164.1</v>
      </c>
      <c r="T229" s="25"/>
      <c r="U229" s="25">
        <v>148.4</v>
      </c>
      <c r="V229" s="25">
        <v>140.4</v>
      </c>
      <c r="W229" s="25">
        <v>147.30000000000001</v>
      </c>
      <c r="X229" s="25"/>
      <c r="Y229" s="25">
        <v>150.1</v>
      </c>
      <c r="Z229" s="25">
        <v>140.30000000000001</v>
      </c>
      <c r="AA229" s="25"/>
      <c r="AB229" s="25">
        <v>143.69999999999999</v>
      </c>
      <c r="AC229" s="25"/>
      <c r="AD229" s="25">
        <v>146.9</v>
      </c>
      <c r="AE229" s="25"/>
      <c r="AF229" s="25">
        <v>124.9</v>
      </c>
      <c r="AG229" s="25"/>
      <c r="AH229" s="25">
        <v>139.19999999999999</v>
      </c>
      <c r="AI229" s="25"/>
      <c r="AJ229" s="25">
        <v>151.6</v>
      </c>
      <c r="AK229" s="25"/>
      <c r="AL229" s="25">
        <v>133.4</v>
      </c>
      <c r="AM229" s="25"/>
      <c r="AN229" s="25">
        <v>138.19999999999999</v>
      </c>
      <c r="AO229" s="25"/>
      <c r="AP229" s="25">
        <v>142</v>
      </c>
    </row>
    <row r="230" spans="1:42" hidden="1" x14ac:dyDescent="0.3">
      <c r="A230" s="25" t="s">
        <v>30</v>
      </c>
      <c r="B230" s="25">
        <v>2019</v>
      </c>
      <c r="C230" s="25" t="s">
        <v>39</v>
      </c>
      <c r="D230" s="26">
        <f>DATE(B230,MATCH(TRIM(C230),{"January","February","March","April","May","June","July","August","September","October","November","December"},0),1)</f>
        <v>43617</v>
      </c>
      <c r="E230" s="25">
        <v>137.80000000000001</v>
      </c>
      <c r="F230" s="25">
        <v>163.5</v>
      </c>
      <c r="G230" s="25">
        <v>136.19999999999999</v>
      </c>
      <c r="H230" s="25">
        <v>143.19999999999999</v>
      </c>
      <c r="I230" s="25">
        <v>124.3</v>
      </c>
      <c r="J230" s="25">
        <v>143.30000000000001</v>
      </c>
      <c r="K230" s="25">
        <v>140.6</v>
      </c>
      <c r="L230" s="25">
        <v>128.69999999999999</v>
      </c>
      <c r="M230" s="25">
        <v>110.6</v>
      </c>
      <c r="N230" s="25">
        <v>140.4</v>
      </c>
      <c r="O230" s="25">
        <v>138</v>
      </c>
      <c r="P230" s="25">
        <v>156.6</v>
      </c>
      <c r="Q230" s="25">
        <v>141</v>
      </c>
      <c r="R230" s="25"/>
      <c r="S230" s="25">
        <v>164.2</v>
      </c>
      <c r="T230" s="25"/>
      <c r="U230" s="25">
        <v>151.4</v>
      </c>
      <c r="V230" s="25">
        <v>146.5</v>
      </c>
      <c r="W230" s="25">
        <v>150.69999999999999</v>
      </c>
      <c r="X230" s="25"/>
      <c r="Y230" s="25" t="s">
        <v>32</v>
      </c>
      <c r="Z230" s="25">
        <v>147.80000000000001</v>
      </c>
      <c r="AA230" s="25"/>
      <c r="AB230" s="25">
        <v>149.6</v>
      </c>
      <c r="AC230" s="25"/>
      <c r="AD230" s="25">
        <v>151.69999999999999</v>
      </c>
      <c r="AE230" s="25"/>
      <c r="AF230" s="25">
        <v>130.19999999999999</v>
      </c>
      <c r="AG230" s="25"/>
      <c r="AH230" s="25">
        <v>146.4</v>
      </c>
      <c r="AI230" s="25"/>
      <c r="AJ230" s="25">
        <v>157.69999999999999</v>
      </c>
      <c r="AK230" s="25"/>
      <c r="AL230" s="25">
        <v>134.80000000000001</v>
      </c>
      <c r="AM230" s="25"/>
      <c r="AN230" s="25">
        <v>143.30000000000001</v>
      </c>
      <c r="AO230" s="25"/>
      <c r="AP230" s="25">
        <v>143.6</v>
      </c>
    </row>
    <row r="231" spans="1:42" hidden="1" x14ac:dyDescent="0.3">
      <c r="A231" s="25" t="s">
        <v>33</v>
      </c>
      <c r="B231" s="25">
        <v>2019</v>
      </c>
      <c r="C231" s="25" t="s">
        <v>39</v>
      </c>
      <c r="D231" s="26">
        <f>DATE(B231,MATCH(TRIM(C231),{"January","February","March","April","May","June","July","August","September","October","November","December"},0),1)</f>
        <v>43617</v>
      </c>
      <c r="E231" s="25">
        <v>140.69999999999999</v>
      </c>
      <c r="F231" s="25">
        <v>159.6</v>
      </c>
      <c r="G231" s="25">
        <v>140.4</v>
      </c>
      <c r="H231" s="25">
        <v>143.4</v>
      </c>
      <c r="I231" s="25">
        <v>118.6</v>
      </c>
      <c r="J231" s="25">
        <v>150.9</v>
      </c>
      <c r="K231" s="25">
        <v>169.8</v>
      </c>
      <c r="L231" s="25">
        <v>127.4</v>
      </c>
      <c r="M231" s="25">
        <v>111.8</v>
      </c>
      <c r="N231" s="25">
        <v>141</v>
      </c>
      <c r="O231" s="25">
        <v>129</v>
      </c>
      <c r="P231" s="25">
        <v>155.1</v>
      </c>
      <c r="Q231" s="25">
        <v>145.6</v>
      </c>
      <c r="R231" s="25"/>
      <c r="S231" s="25">
        <v>166.7</v>
      </c>
      <c r="T231" s="25"/>
      <c r="U231" s="25">
        <v>144.30000000000001</v>
      </c>
      <c r="V231" s="25">
        <v>131.69999999999999</v>
      </c>
      <c r="W231" s="25">
        <v>142.4</v>
      </c>
      <c r="X231" s="25"/>
      <c r="Y231" s="25">
        <v>149.4</v>
      </c>
      <c r="Z231" s="25">
        <v>130.5</v>
      </c>
      <c r="AA231" s="25"/>
      <c r="AB231" s="25">
        <v>137.4</v>
      </c>
      <c r="AC231" s="25"/>
      <c r="AD231" s="25">
        <v>140.30000000000001</v>
      </c>
      <c r="AE231" s="25"/>
      <c r="AF231" s="25">
        <v>119.6</v>
      </c>
      <c r="AG231" s="25"/>
      <c r="AH231" s="25">
        <v>134.30000000000001</v>
      </c>
      <c r="AI231" s="25"/>
      <c r="AJ231" s="25">
        <v>148.9</v>
      </c>
      <c r="AK231" s="25"/>
      <c r="AL231" s="25">
        <v>133.69999999999999</v>
      </c>
      <c r="AM231" s="25"/>
      <c r="AN231" s="25">
        <v>133.6</v>
      </c>
      <c r="AO231" s="25"/>
      <c r="AP231" s="25">
        <v>142.1</v>
      </c>
    </row>
    <row r="232" spans="1:42" hidden="1" x14ac:dyDescent="0.3">
      <c r="A232" s="25" t="s">
        <v>34</v>
      </c>
      <c r="B232" s="25">
        <v>2019</v>
      </c>
      <c r="C232" s="25" t="s">
        <v>39</v>
      </c>
      <c r="D232" s="26">
        <f>DATE(B232,MATCH(TRIM(C232),{"January","February","March","April","May","June","July","August","September","October","November","December"},0),1)</f>
        <v>43617</v>
      </c>
      <c r="E232" s="25">
        <v>138.69999999999999</v>
      </c>
      <c r="F232" s="25">
        <v>162.1</v>
      </c>
      <c r="G232" s="25">
        <v>137.80000000000001</v>
      </c>
      <c r="H232" s="25">
        <v>143.30000000000001</v>
      </c>
      <c r="I232" s="25">
        <v>122.2</v>
      </c>
      <c r="J232" s="25">
        <v>146.80000000000001</v>
      </c>
      <c r="K232" s="25">
        <v>150.5</v>
      </c>
      <c r="L232" s="25">
        <v>128.30000000000001</v>
      </c>
      <c r="M232" s="25">
        <v>111</v>
      </c>
      <c r="N232" s="25">
        <v>140.6</v>
      </c>
      <c r="O232" s="25">
        <v>134.19999999999999</v>
      </c>
      <c r="P232" s="25">
        <v>155.9</v>
      </c>
      <c r="Q232" s="25">
        <v>142.69999999999999</v>
      </c>
      <c r="R232" s="25"/>
      <c r="S232" s="25">
        <v>164.9</v>
      </c>
      <c r="T232" s="25"/>
      <c r="U232" s="25">
        <v>148.6</v>
      </c>
      <c r="V232" s="25">
        <v>140.4</v>
      </c>
      <c r="W232" s="25">
        <v>147.4</v>
      </c>
      <c r="X232" s="25"/>
      <c r="Y232" s="25">
        <v>149.4</v>
      </c>
      <c r="Z232" s="25">
        <v>141.19999999999999</v>
      </c>
      <c r="AA232" s="25"/>
      <c r="AB232" s="25">
        <v>143.80000000000001</v>
      </c>
      <c r="AC232" s="25"/>
      <c r="AD232" s="25">
        <v>147.4</v>
      </c>
      <c r="AE232" s="25"/>
      <c r="AF232" s="25">
        <v>124.6</v>
      </c>
      <c r="AG232" s="25"/>
      <c r="AH232" s="25">
        <v>139.6</v>
      </c>
      <c r="AI232" s="25"/>
      <c r="AJ232" s="25">
        <v>152.5</v>
      </c>
      <c r="AK232" s="25"/>
      <c r="AL232" s="25">
        <v>134.30000000000001</v>
      </c>
      <c r="AM232" s="25"/>
      <c r="AN232" s="25">
        <v>138.6</v>
      </c>
      <c r="AO232" s="25"/>
      <c r="AP232" s="25">
        <v>142.9</v>
      </c>
    </row>
    <row r="233" spans="1:42" hidden="1" x14ac:dyDescent="0.3">
      <c r="A233" s="25" t="s">
        <v>30</v>
      </c>
      <c r="B233" s="25">
        <v>2019</v>
      </c>
      <c r="C233" s="25" t="s">
        <v>40</v>
      </c>
      <c r="D233" s="26">
        <f>DATE(B233,MATCH(TRIM(C233),{"January","February","March","April","May","June","July","August","September","October","November","December"},0),1)</f>
        <v>43647</v>
      </c>
      <c r="E233" s="25">
        <v>138.4</v>
      </c>
      <c r="F233" s="25">
        <v>164</v>
      </c>
      <c r="G233" s="25">
        <v>138.4</v>
      </c>
      <c r="H233" s="25">
        <v>143.9</v>
      </c>
      <c r="I233" s="25">
        <v>124.4</v>
      </c>
      <c r="J233" s="25">
        <v>146.4</v>
      </c>
      <c r="K233" s="25">
        <v>150.1</v>
      </c>
      <c r="L233" s="25">
        <v>130.6</v>
      </c>
      <c r="M233" s="25">
        <v>110.8</v>
      </c>
      <c r="N233" s="25">
        <v>141.69999999999999</v>
      </c>
      <c r="O233" s="25">
        <v>138.5</v>
      </c>
      <c r="P233" s="25">
        <v>156.69999999999999</v>
      </c>
      <c r="Q233" s="25">
        <v>143</v>
      </c>
      <c r="R233" s="25"/>
      <c r="S233" s="25">
        <v>164.5</v>
      </c>
      <c r="T233" s="25"/>
      <c r="U233" s="25">
        <v>151.6</v>
      </c>
      <c r="V233" s="25">
        <v>146.6</v>
      </c>
      <c r="W233" s="25">
        <v>150.9</v>
      </c>
      <c r="X233" s="25"/>
      <c r="Y233" s="25" t="s">
        <v>32</v>
      </c>
      <c r="Z233" s="25">
        <v>146.80000000000001</v>
      </c>
      <c r="AA233" s="25"/>
      <c r="AB233" s="25">
        <v>150</v>
      </c>
      <c r="AC233" s="25"/>
      <c r="AD233" s="25">
        <v>152.19999999999999</v>
      </c>
      <c r="AE233" s="25"/>
      <c r="AF233" s="25">
        <v>131.19999999999999</v>
      </c>
      <c r="AG233" s="25"/>
      <c r="AH233" s="25">
        <v>147.5</v>
      </c>
      <c r="AI233" s="25"/>
      <c r="AJ233" s="25">
        <v>159.1</v>
      </c>
      <c r="AK233" s="25"/>
      <c r="AL233" s="25">
        <v>136.1</v>
      </c>
      <c r="AM233" s="25"/>
      <c r="AN233" s="25">
        <v>144.19999999999999</v>
      </c>
      <c r="AO233" s="25"/>
      <c r="AP233" s="25">
        <v>144.9</v>
      </c>
    </row>
    <row r="234" spans="1:42" hidden="1" x14ac:dyDescent="0.3">
      <c r="A234" s="25" t="s">
        <v>33</v>
      </c>
      <c r="B234" s="25">
        <v>2019</v>
      </c>
      <c r="C234" s="25" t="s">
        <v>40</v>
      </c>
      <c r="D234" s="26">
        <f>DATE(B234,MATCH(TRIM(C234),{"January","February","March","April","May","June","July","August","September","October","November","December"},0),1)</f>
        <v>43647</v>
      </c>
      <c r="E234" s="25">
        <v>141.4</v>
      </c>
      <c r="F234" s="25">
        <v>160.19999999999999</v>
      </c>
      <c r="G234" s="25">
        <v>142.5</v>
      </c>
      <c r="H234" s="25">
        <v>144.1</v>
      </c>
      <c r="I234" s="25">
        <v>119.3</v>
      </c>
      <c r="J234" s="25">
        <v>154.69999999999999</v>
      </c>
      <c r="K234" s="25">
        <v>180.1</v>
      </c>
      <c r="L234" s="25">
        <v>128.9</v>
      </c>
      <c r="M234" s="25">
        <v>111.8</v>
      </c>
      <c r="N234" s="25">
        <v>141.6</v>
      </c>
      <c r="O234" s="25">
        <v>129.5</v>
      </c>
      <c r="P234" s="25">
        <v>155.6</v>
      </c>
      <c r="Q234" s="25">
        <v>147.69999999999999</v>
      </c>
      <c r="R234" s="25"/>
      <c r="S234" s="25">
        <v>167.2</v>
      </c>
      <c r="T234" s="25"/>
      <c r="U234" s="25">
        <v>144.69999999999999</v>
      </c>
      <c r="V234" s="25">
        <v>131.9</v>
      </c>
      <c r="W234" s="25">
        <v>142.69999999999999</v>
      </c>
      <c r="X234" s="25"/>
      <c r="Y234" s="25">
        <v>150.6</v>
      </c>
      <c r="Z234" s="25">
        <v>127</v>
      </c>
      <c r="AA234" s="25"/>
      <c r="AB234" s="25">
        <v>137.69999999999999</v>
      </c>
      <c r="AC234" s="25"/>
      <c r="AD234" s="25">
        <v>140.80000000000001</v>
      </c>
      <c r="AE234" s="25"/>
      <c r="AF234" s="25">
        <v>120.6</v>
      </c>
      <c r="AG234" s="25"/>
      <c r="AH234" s="25">
        <v>135</v>
      </c>
      <c r="AI234" s="25"/>
      <c r="AJ234" s="25">
        <v>150.4</v>
      </c>
      <c r="AK234" s="25"/>
      <c r="AL234" s="25">
        <v>135.1</v>
      </c>
      <c r="AM234" s="25"/>
      <c r="AN234" s="25">
        <v>134.5</v>
      </c>
      <c r="AO234" s="25"/>
      <c r="AP234" s="25">
        <v>143.30000000000001</v>
      </c>
    </row>
    <row r="235" spans="1:42" hidden="1" x14ac:dyDescent="0.3">
      <c r="A235" s="25" t="s">
        <v>34</v>
      </c>
      <c r="B235" s="25">
        <v>2019</v>
      </c>
      <c r="C235" s="25" t="s">
        <v>40</v>
      </c>
      <c r="D235" s="26">
        <f>DATE(B235,MATCH(TRIM(C235),{"January","February","March","April","May","June","July","August","September","October","November","December"},0),1)</f>
        <v>43647</v>
      </c>
      <c r="E235" s="25">
        <v>139.30000000000001</v>
      </c>
      <c r="F235" s="25">
        <v>162.69999999999999</v>
      </c>
      <c r="G235" s="25">
        <v>140</v>
      </c>
      <c r="H235" s="25">
        <v>144</v>
      </c>
      <c r="I235" s="25">
        <v>122.5</v>
      </c>
      <c r="J235" s="25">
        <v>150.30000000000001</v>
      </c>
      <c r="K235" s="25">
        <v>160.30000000000001</v>
      </c>
      <c r="L235" s="25">
        <v>130</v>
      </c>
      <c r="M235" s="25">
        <v>111.1</v>
      </c>
      <c r="N235" s="25">
        <v>141.69999999999999</v>
      </c>
      <c r="O235" s="25">
        <v>134.69999999999999</v>
      </c>
      <c r="P235" s="25">
        <v>156.19999999999999</v>
      </c>
      <c r="Q235" s="25">
        <v>144.69999999999999</v>
      </c>
      <c r="R235" s="25"/>
      <c r="S235" s="25">
        <v>165.2</v>
      </c>
      <c r="T235" s="25"/>
      <c r="U235" s="25">
        <v>148.9</v>
      </c>
      <c r="V235" s="25">
        <v>140.5</v>
      </c>
      <c r="W235" s="25">
        <v>147.6</v>
      </c>
      <c r="X235" s="25"/>
      <c r="Y235" s="25">
        <v>150.6</v>
      </c>
      <c r="Z235" s="25">
        <v>139.30000000000001</v>
      </c>
      <c r="AA235" s="25"/>
      <c r="AB235" s="25">
        <v>144.19999999999999</v>
      </c>
      <c r="AC235" s="25"/>
      <c r="AD235" s="25">
        <v>147.9</v>
      </c>
      <c r="AE235" s="25"/>
      <c r="AF235" s="25">
        <v>125.6</v>
      </c>
      <c r="AG235" s="25"/>
      <c r="AH235" s="25">
        <v>140.5</v>
      </c>
      <c r="AI235" s="25"/>
      <c r="AJ235" s="25">
        <v>154</v>
      </c>
      <c r="AK235" s="25"/>
      <c r="AL235" s="25">
        <v>135.69999999999999</v>
      </c>
      <c r="AM235" s="25"/>
      <c r="AN235" s="25">
        <v>139.5</v>
      </c>
      <c r="AO235" s="25"/>
      <c r="AP235" s="25">
        <v>144.19999999999999</v>
      </c>
    </row>
    <row r="236" spans="1:42" hidden="1" x14ac:dyDescent="0.3">
      <c r="A236" s="25" t="s">
        <v>30</v>
      </c>
      <c r="B236" s="25">
        <v>2019</v>
      </c>
      <c r="C236" s="25" t="s">
        <v>41</v>
      </c>
      <c r="D236" s="26">
        <f>DATE(B236,MATCH(TRIM(C236),{"January","February","March","April","May","June","July","August","September","October","November","December"},0),1)</f>
        <v>43678</v>
      </c>
      <c r="E236" s="25">
        <v>139.19999999999999</v>
      </c>
      <c r="F236" s="25">
        <v>161.9</v>
      </c>
      <c r="G236" s="25">
        <v>137.1</v>
      </c>
      <c r="H236" s="25">
        <v>144.6</v>
      </c>
      <c r="I236" s="25">
        <v>124.7</v>
      </c>
      <c r="J236" s="25">
        <v>145.5</v>
      </c>
      <c r="K236" s="25">
        <v>156.19999999999999</v>
      </c>
      <c r="L236" s="25">
        <v>131.5</v>
      </c>
      <c r="M236" s="25">
        <v>111.7</v>
      </c>
      <c r="N236" s="25">
        <v>142.69999999999999</v>
      </c>
      <c r="O236" s="25">
        <v>138.5</v>
      </c>
      <c r="P236" s="25">
        <v>156.9</v>
      </c>
      <c r="Q236" s="25">
        <v>144</v>
      </c>
      <c r="R236" s="25"/>
      <c r="S236" s="25">
        <v>165.1</v>
      </c>
      <c r="T236" s="25"/>
      <c r="U236" s="25">
        <v>151.80000000000001</v>
      </c>
      <c r="V236" s="25">
        <v>146.6</v>
      </c>
      <c r="W236" s="25">
        <v>151.1</v>
      </c>
      <c r="X236" s="25"/>
      <c r="Y236" s="25" t="s">
        <v>32</v>
      </c>
      <c r="Z236" s="25">
        <v>146.4</v>
      </c>
      <c r="AA236" s="25"/>
      <c r="AB236" s="25">
        <v>150.19999999999999</v>
      </c>
      <c r="AC236" s="25"/>
      <c r="AD236" s="25">
        <v>152.69999999999999</v>
      </c>
      <c r="AE236" s="25"/>
      <c r="AF236" s="25">
        <v>131.4</v>
      </c>
      <c r="AG236" s="25"/>
      <c r="AH236" s="25">
        <v>148</v>
      </c>
      <c r="AI236" s="25"/>
      <c r="AJ236" s="25">
        <v>159.69999999999999</v>
      </c>
      <c r="AK236" s="25"/>
      <c r="AL236" s="25">
        <v>138.80000000000001</v>
      </c>
      <c r="AM236" s="25"/>
      <c r="AN236" s="25">
        <v>144.9</v>
      </c>
      <c r="AO236" s="25"/>
      <c r="AP236" s="25">
        <v>145.69999999999999</v>
      </c>
    </row>
    <row r="237" spans="1:42" hidden="1" x14ac:dyDescent="0.3">
      <c r="A237" s="25" t="s">
        <v>33</v>
      </c>
      <c r="B237" s="25">
        <v>2019</v>
      </c>
      <c r="C237" s="25" t="s">
        <v>41</v>
      </c>
      <c r="D237" s="26">
        <f>DATE(B237,MATCH(TRIM(C237),{"January","February","March","April","May","June","July","August","September","October","November","December"},0),1)</f>
        <v>43678</v>
      </c>
      <c r="E237" s="25">
        <v>142.1</v>
      </c>
      <c r="F237" s="25">
        <v>158.30000000000001</v>
      </c>
      <c r="G237" s="25">
        <v>140.80000000000001</v>
      </c>
      <c r="H237" s="25">
        <v>144.9</v>
      </c>
      <c r="I237" s="25">
        <v>119.9</v>
      </c>
      <c r="J237" s="25">
        <v>153.9</v>
      </c>
      <c r="K237" s="25">
        <v>189.1</v>
      </c>
      <c r="L237" s="25">
        <v>129.80000000000001</v>
      </c>
      <c r="M237" s="25">
        <v>112.7</v>
      </c>
      <c r="N237" s="25">
        <v>142.5</v>
      </c>
      <c r="O237" s="25">
        <v>129.80000000000001</v>
      </c>
      <c r="P237" s="25">
        <v>156.19999999999999</v>
      </c>
      <c r="Q237" s="25">
        <v>149.1</v>
      </c>
      <c r="R237" s="25"/>
      <c r="S237" s="25">
        <v>167.9</v>
      </c>
      <c r="T237" s="25"/>
      <c r="U237" s="25">
        <v>145</v>
      </c>
      <c r="V237" s="25">
        <v>132.19999999999999</v>
      </c>
      <c r="W237" s="25">
        <v>143</v>
      </c>
      <c r="X237" s="25"/>
      <c r="Y237" s="25">
        <v>151.6</v>
      </c>
      <c r="Z237" s="25">
        <v>125.5</v>
      </c>
      <c r="AA237" s="25"/>
      <c r="AB237" s="25">
        <v>138.1</v>
      </c>
      <c r="AC237" s="25"/>
      <c r="AD237" s="25">
        <v>141.5</v>
      </c>
      <c r="AE237" s="25"/>
      <c r="AF237" s="25">
        <v>120.8</v>
      </c>
      <c r="AG237" s="25"/>
      <c r="AH237" s="25">
        <v>135.4</v>
      </c>
      <c r="AI237" s="25"/>
      <c r="AJ237" s="25">
        <v>151.5</v>
      </c>
      <c r="AK237" s="25"/>
      <c r="AL237" s="25">
        <v>137.80000000000001</v>
      </c>
      <c r="AM237" s="25"/>
      <c r="AN237" s="25">
        <v>135.30000000000001</v>
      </c>
      <c r="AO237" s="25"/>
      <c r="AP237" s="25">
        <v>144.19999999999999</v>
      </c>
    </row>
    <row r="238" spans="1:42" hidden="1" x14ac:dyDescent="0.3">
      <c r="A238" s="25" t="s">
        <v>34</v>
      </c>
      <c r="B238" s="25">
        <v>2019</v>
      </c>
      <c r="C238" s="25" t="s">
        <v>41</v>
      </c>
      <c r="D238" s="26">
        <f>DATE(B238,MATCH(TRIM(C238),{"January","February","March","April","May","June","July","August","September","October","November","December"},0),1)</f>
        <v>43678</v>
      </c>
      <c r="E238" s="25">
        <v>140.1</v>
      </c>
      <c r="F238" s="25">
        <v>160.6</v>
      </c>
      <c r="G238" s="25">
        <v>138.5</v>
      </c>
      <c r="H238" s="25">
        <v>144.69999999999999</v>
      </c>
      <c r="I238" s="25">
        <v>122.9</v>
      </c>
      <c r="J238" s="25">
        <v>149.4</v>
      </c>
      <c r="K238" s="25">
        <v>167.4</v>
      </c>
      <c r="L238" s="25">
        <v>130.9</v>
      </c>
      <c r="M238" s="25">
        <v>112</v>
      </c>
      <c r="N238" s="25">
        <v>142.6</v>
      </c>
      <c r="O238" s="25">
        <v>134.9</v>
      </c>
      <c r="P238" s="25">
        <v>156.6</v>
      </c>
      <c r="Q238" s="25">
        <v>145.9</v>
      </c>
      <c r="R238" s="25"/>
      <c r="S238" s="25">
        <v>165.8</v>
      </c>
      <c r="T238" s="25"/>
      <c r="U238" s="25">
        <v>149.1</v>
      </c>
      <c r="V238" s="25">
        <v>140.6</v>
      </c>
      <c r="W238" s="25">
        <v>147.9</v>
      </c>
      <c r="X238" s="25"/>
      <c r="Y238" s="25">
        <v>151.6</v>
      </c>
      <c r="Z238" s="25">
        <v>138.5</v>
      </c>
      <c r="AA238" s="25"/>
      <c r="AB238" s="25">
        <v>144.5</v>
      </c>
      <c r="AC238" s="25"/>
      <c r="AD238" s="25">
        <v>148.5</v>
      </c>
      <c r="AE238" s="25"/>
      <c r="AF238" s="25">
        <v>125.8</v>
      </c>
      <c r="AG238" s="25"/>
      <c r="AH238" s="25">
        <v>140.9</v>
      </c>
      <c r="AI238" s="25"/>
      <c r="AJ238" s="25">
        <v>154.9</v>
      </c>
      <c r="AK238" s="25"/>
      <c r="AL238" s="25">
        <v>138.4</v>
      </c>
      <c r="AM238" s="25"/>
      <c r="AN238" s="25">
        <v>140.19999999999999</v>
      </c>
      <c r="AO238" s="25"/>
      <c r="AP238" s="25">
        <v>145</v>
      </c>
    </row>
    <row r="239" spans="1:42" hidden="1" x14ac:dyDescent="0.3">
      <c r="A239" s="25" t="s">
        <v>30</v>
      </c>
      <c r="B239" s="25">
        <v>2019</v>
      </c>
      <c r="C239" s="25" t="s">
        <v>42</v>
      </c>
      <c r="D239" s="26">
        <f>DATE(B239,MATCH(TRIM(C239),{"January","February","March","April","May","June","July","August","September","October","November","December"},0),1)</f>
        <v>43709</v>
      </c>
      <c r="E239" s="25">
        <v>140.1</v>
      </c>
      <c r="F239" s="25">
        <v>161.9</v>
      </c>
      <c r="G239" s="25">
        <v>138.30000000000001</v>
      </c>
      <c r="H239" s="25">
        <v>145.69999999999999</v>
      </c>
      <c r="I239" s="25">
        <v>125.1</v>
      </c>
      <c r="J239" s="25">
        <v>143.80000000000001</v>
      </c>
      <c r="K239" s="25">
        <v>163.4</v>
      </c>
      <c r="L239" s="25">
        <v>132.19999999999999</v>
      </c>
      <c r="M239" s="25">
        <v>112.8</v>
      </c>
      <c r="N239" s="25">
        <v>144.19999999999999</v>
      </c>
      <c r="O239" s="25">
        <v>138.5</v>
      </c>
      <c r="P239" s="25">
        <v>157.19999999999999</v>
      </c>
      <c r="Q239" s="25">
        <v>145.5</v>
      </c>
      <c r="R239" s="25"/>
      <c r="S239" s="25">
        <v>165.7</v>
      </c>
      <c r="T239" s="25"/>
      <c r="U239" s="25">
        <v>151.69999999999999</v>
      </c>
      <c r="V239" s="25">
        <v>146.6</v>
      </c>
      <c r="W239" s="25">
        <v>151</v>
      </c>
      <c r="X239" s="25"/>
      <c r="Y239" s="25" t="s">
        <v>32</v>
      </c>
      <c r="Z239" s="25">
        <v>146.9</v>
      </c>
      <c r="AA239" s="25"/>
      <c r="AB239" s="25">
        <v>150.30000000000001</v>
      </c>
      <c r="AC239" s="25"/>
      <c r="AD239" s="25">
        <v>153.4</v>
      </c>
      <c r="AE239" s="25"/>
      <c r="AF239" s="25">
        <v>131.6</v>
      </c>
      <c r="AG239" s="25"/>
      <c r="AH239" s="25">
        <v>148.30000000000001</v>
      </c>
      <c r="AI239" s="25"/>
      <c r="AJ239" s="25">
        <v>160.19999999999999</v>
      </c>
      <c r="AK239" s="25"/>
      <c r="AL239" s="25">
        <v>140.19999999999999</v>
      </c>
      <c r="AM239" s="25"/>
      <c r="AN239" s="25">
        <v>145.4</v>
      </c>
      <c r="AO239" s="25"/>
      <c r="AP239" s="25">
        <v>146.69999999999999</v>
      </c>
    </row>
    <row r="240" spans="1:42" hidden="1" x14ac:dyDescent="0.3">
      <c r="A240" s="25" t="s">
        <v>33</v>
      </c>
      <c r="B240" s="25">
        <v>2019</v>
      </c>
      <c r="C240" s="25" t="s">
        <v>42</v>
      </c>
      <c r="D240" s="26">
        <f>DATE(B240,MATCH(TRIM(C240),{"January","February","March","April","May","June","July","August","September","October","November","December"},0),1)</f>
        <v>43709</v>
      </c>
      <c r="E240" s="25">
        <v>142.69999999999999</v>
      </c>
      <c r="F240" s="25">
        <v>158.69999999999999</v>
      </c>
      <c r="G240" s="25">
        <v>141.6</v>
      </c>
      <c r="H240" s="25">
        <v>144.9</v>
      </c>
      <c r="I240" s="25">
        <v>120.8</v>
      </c>
      <c r="J240" s="25">
        <v>149.80000000000001</v>
      </c>
      <c r="K240" s="25">
        <v>192.4</v>
      </c>
      <c r="L240" s="25">
        <v>130.30000000000001</v>
      </c>
      <c r="M240" s="25">
        <v>114</v>
      </c>
      <c r="N240" s="25">
        <v>143.80000000000001</v>
      </c>
      <c r="O240" s="25">
        <v>130</v>
      </c>
      <c r="P240" s="25">
        <v>156.4</v>
      </c>
      <c r="Q240" s="25">
        <v>149.5</v>
      </c>
      <c r="R240" s="25"/>
      <c r="S240" s="25">
        <v>168.6</v>
      </c>
      <c r="T240" s="25"/>
      <c r="U240" s="25">
        <v>145.30000000000001</v>
      </c>
      <c r="V240" s="25">
        <v>132.19999999999999</v>
      </c>
      <c r="W240" s="25">
        <v>143.30000000000001</v>
      </c>
      <c r="X240" s="25"/>
      <c r="Y240" s="25">
        <v>152.19999999999999</v>
      </c>
      <c r="Z240" s="25">
        <v>126.6</v>
      </c>
      <c r="AA240" s="25"/>
      <c r="AB240" s="25">
        <v>138.30000000000001</v>
      </c>
      <c r="AC240" s="25"/>
      <c r="AD240" s="25">
        <v>141.9</v>
      </c>
      <c r="AE240" s="25"/>
      <c r="AF240" s="25">
        <v>121.2</v>
      </c>
      <c r="AG240" s="25"/>
      <c r="AH240" s="25">
        <v>135.9</v>
      </c>
      <c r="AI240" s="25"/>
      <c r="AJ240" s="25">
        <v>151.6</v>
      </c>
      <c r="AK240" s="25"/>
      <c r="AL240" s="25">
        <v>139</v>
      </c>
      <c r="AM240" s="25"/>
      <c r="AN240" s="25">
        <v>135.69999999999999</v>
      </c>
      <c r="AO240" s="25"/>
      <c r="AP240" s="25">
        <v>144.69999999999999</v>
      </c>
    </row>
    <row r="241" spans="1:42" hidden="1" x14ac:dyDescent="0.3">
      <c r="A241" s="25" t="s">
        <v>34</v>
      </c>
      <c r="B241" s="25">
        <v>2019</v>
      </c>
      <c r="C241" s="25" t="s">
        <v>42</v>
      </c>
      <c r="D241" s="26">
        <f>DATE(B241,MATCH(TRIM(C241),{"January","February","March","April","May","June","July","August","September","October","November","December"},0),1)</f>
        <v>43709</v>
      </c>
      <c r="E241" s="25">
        <v>140.9</v>
      </c>
      <c r="F241" s="25">
        <v>160.80000000000001</v>
      </c>
      <c r="G241" s="25">
        <v>139.6</v>
      </c>
      <c r="H241" s="25">
        <v>145.4</v>
      </c>
      <c r="I241" s="25">
        <v>123.5</v>
      </c>
      <c r="J241" s="25">
        <v>146.6</v>
      </c>
      <c r="K241" s="25">
        <v>173.2</v>
      </c>
      <c r="L241" s="25">
        <v>131.6</v>
      </c>
      <c r="M241" s="25">
        <v>113.2</v>
      </c>
      <c r="N241" s="25">
        <v>144.1</v>
      </c>
      <c r="O241" s="25">
        <v>135</v>
      </c>
      <c r="P241" s="25">
        <v>156.80000000000001</v>
      </c>
      <c r="Q241" s="25">
        <v>147</v>
      </c>
      <c r="R241" s="25"/>
      <c r="S241" s="25">
        <v>166.5</v>
      </c>
      <c r="T241" s="25"/>
      <c r="U241" s="25">
        <v>149.19999999999999</v>
      </c>
      <c r="V241" s="25">
        <v>140.6</v>
      </c>
      <c r="W241" s="25">
        <v>147.9</v>
      </c>
      <c r="X241" s="25"/>
      <c r="Y241" s="25">
        <v>152.19999999999999</v>
      </c>
      <c r="Z241" s="25">
        <v>139.19999999999999</v>
      </c>
      <c r="AA241" s="25"/>
      <c r="AB241" s="25">
        <v>144.6</v>
      </c>
      <c r="AC241" s="25"/>
      <c r="AD241" s="25">
        <v>149</v>
      </c>
      <c r="AE241" s="25"/>
      <c r="AF241" s="25">
        <v>126.1</v>
      </c>
      <c r="AG241" s="25"/>
      <c r="AH241" s="25">
        <v>141.30000000000001</v>
      </c>
      <c r="AI241" s="25"/>
      <c r="AJ241" s="25">
        <v>155.19999999999999</v>
      </c>
      <c r="AK241" s="25"/>
      <c r="AL241" s="25">
        <v>139.69999999999999</v>
      </c>
      <c r="AM241" s="25"/>
      <c r="AN241" s="25">
        <v>140.69999999999999</v>
      </c>
      <c r="AO241" s="25"/>
      <c r="AP241" s="25">
        <v>145.80000000000001</v>
      </c>
    </row>
    <row r="242" spans="1:42" hidden="1" x14ac:dyDescent="0.3">
      <c r="A242" s="25" t="s">
        <v>30</v>
      </c>
      <c r="B242" s="25">
        <v>2019</v>
      </c>
      <c r="C242" s="25" t="s">
        <v>43</v>
      </c>
      <c r="D242" s="26">
        <f>DATE(B242,MATCH(TRIM(C242),{"January","February","March","April","May","June","July","August","September","October","November","December"},0),1)</f>
        <v>43739</v>
      </c>
      <c r="E242" s="25">
        <v>141</v>
      </c>
      <c r="F242" s="25">
        <v>161.6</v>
      </c>
      <c r="G242" s="25">
        <v>141.19999999999999</v>
      </c>
      <c r="H242" s="25">
        <v>146.5</v>
      </c>
      <c r="I242" s="25">
        <v>125.6</v>
      </c>
      <c r="J242" s="25">
        <v>145.69999999999999</v>
      </c>
      <c r="K242" s="25">
        <v>178.8</v>
      </c>
      <c r="L242" s="25">
        <v>133.1</v>
      </c>
      <c r="M242" s="25">
        <v>113.6</v>
      </c>
      <c r="N242" s="25">
        <v>145.5</v>
      </c>
      <c r="O242" s="25">
        <v>138.6</v>
      </c>
      <c r="P242" s="25">
        <v>157.4</v>
      </c>
      <c r="Q242" s="25">
        <v>148.30000000000001</v>
      </c>
      <c r="R242" s="25"/>
      <c r="S242" s="25">
        <v>166.3</v>
      </c>
      <c r="T242" s="25"/>
      <c r="U242" s="25">
        <v>151.69999999999999</v>
      </c>
      <c r="V242" s="25">
        <v>146.69999999999999</v>
      </c>
      <c r="W242" s="25">
        <v>151</v>
      </c>
      <c r="X242" s="25"/>
      <c r="Y242" s="25" t="s">
        <v>32</v>
      </c>
      <c r="Z242" s="25">
        <v>147.69999999999999</v>
      </c>
      <c r="AA242" s="25"/>
      <c r="AB242" s="25">
        <v>150.6</v>
      </c>
      <c r="AC242" s="25"/>
      <c r="AD242" s="25">
        <v>153.69999999999999</v>
      </c>
      <c r="AE242" s="25"/>
      <c r="AF242" s="25">
        <v>131.69999999999999</v>
      </c>
      <c r="AG242" s="25"/>
      <c r="AH242" s="25">
        <v>148.69999999999999</v>
      </c>
      <c r="AI242" s="25"/>
      <c r="AJ242" s="25">
        <v>160.69999999999999</v>
      </c>
      <c r="AK242" s="25"/>
      <c r="AL242" s="25">
        <v>140.30000000000001</v>
      </c>
      <c r="AM242" s="25"/>
      <c r="AN242" s="25">
        <v>145.69999999999999</v>
      </c>
      <c r="AO242" s="25"/>
      <c r="AP242" s="25">
        <v>148.30000000000001</v>
      </c>
    </row>
    <row r="243" spans="1:42" hidden="1" x14ac:dyDescent="0.3">
      <c r="A243" s="25" t="s">
        <v>33</v>
      </c>
      <c r="B243" s="25">
        <v>2019</v>
      </c>
      <c r="C243" s="25" t="s">
        <v>43</v>
      </c>
      <c r="D243" s="26">
        <f>DATE(B243,MATCH(TRIM(C243),{"January","February","March","April","May","June","July","August","September","October","November","December"},0),1)</f>
        <v>43739</v>
      </c>
      <c r="E243" s="25">
        <v>143.5</v>
      </c>
      <c r="F243" s="25">
        <v>159.80000000000001</v>
      </c>
      <c r="G243" s="25">
        <v>144.69999999999999</v>
      </c>
      <c r="H243" s="25">
        <v>145.6</v>
      </c>
      <c r="I243" s="25">
        <v>121.1</v>
      </c>
      <c r="J243" s="25">
        <v>150.6</v>
      </c>
      <c r="K243" s="25">
        <v>207.2</v>
      </c>
      <c r="L243" s="25">
        <v>131.19999999999999</v>
      </c>
      <c r="M243" s="25">
        <v>114.8</v>
      </c>
      <c r="N243" s="25">
        <v>145.19999999999999</v>
      </c>
      <c r="O243" s="25">
        <v>130.19999999999999</v>
      </c>
      <c r="P243" s="25">
        <v>156.80000000000001</v>
      </c>
      <c r="Q243" s="25">
        <v>151.9</v>
      </c>
      <c r="R243" s="25"/>
      <c r="S243" s="25">
        <v>169.3</v>
      </c>
      <c r="T243" s="25"/>
      <c r="U243" s="25">
        <v>145.9</v>
      </c>
      <c r="V243" s="25">
        <v>132.4</v>
      </c>
      <c r="W243" s="25">
        <v>143.9</v>
      </c>
      <c r="X243" s="25"/>
      <c r="Y243" s="25">
        <v>153</v>
      </c>
      <c r="Z243" s="25">
        <v>128.9</v>
      </c>
      <c r="AA243" s="25"/>
      <c r="AB243" s="25">
        <v>138.69999999999999</v>
      </c>
      <c r="AC243" s="25"/>
      <c r="AD243" s="25">
        <v>142.4</v>
      </c>
      <c r="AE243" s="25"/>
      <c r="AF243" s="25">
        <v>121.5</v>
      </c>
      <c r="AG243" s="25"/>
      <c r="AH243" s="25">
        <v>136.19999999999999</v>
      </c>
      <c r="AI243" s="25"/>
      <c r="AJ243" s="25">
        <v>151.69999999999999</v>
      </c>
      <c r="AK243" s="25"/>
      <c r="AL243" s="25">
        <v>139.5</v>
      </c>
      <c r="AM243" s="25"/>
      <c r="AN243" s="25">
        <v>136</v>
      </c>
      <c r="AO243" s="25"/>
      <c r="AP243" s="25">
        <v>146</v>
      </c>
    </row>
    <row r="244" spans="1:42" hidden="1" x14ac:dyDescent="0.3">
      <c r="A244" s="25" t="s">
        <v>34</v>
      </c>
      <c r="B244" s="25">
        <v>2019</v>
      </c>
      <c r="C244" s="25" t="s">
        <v>43</v>
      </c>
      <c r="D244" s="26">
        <f>DATE(B244,MATCH(TRIM(C244),{"January","February","March","April","May","June","July","August","September","October","November","December"},0),1)</f>
        <v>43739</v>
      </c>
      <c r="E244" s="25">
        <v>141.80000000000001</v>
      </c>
      <c r="F244" s="25">
        <v>161</v>
      </c>
      <c r="G244" s="25">
        <v>142.6</v>
      </c>
      <c r="H244" s="25">
        <v>146.19999999999999</v>
      </c>
      <c r="I244" s="25">
        <v>123.9</v>
      </c>
      <c r="J244" s="25">
        <v>148</v>
      </c>
      <c r="K244" s="25">
        <v>188.4</v>
      </c>
      <c r="L244" s="25">
        <v>132.5</v>
      </c>
      <c r="M244" s="25">
        <v>114</v>
      </c>
      <c r="N244" s="25">
        <v>145.4</v>
      </c>
      <c r="O244" s="25">
        <v>135.1</v>
      </c>
      <c r="P244" s="25">
        <v>157.1</v>
      </c>
      <c r="Q244" s="25">
        <v>149.6</v>
      </c>
      <c r="R244" s="25"/>
      <c r="S244" s="25">
        <v>167.1</v>
      </c>
      <c r="T244" s="25"/>
      <c r="U244" s="25">
        <v>149.4</v>
      </c>
      <c r="V244" s="25">
        <v>140.80000000000001</v>
      </c>
      <c r="W244" s="25">
        <v>148.19999999999999</v>
      </c>
      <c r="X244" s="25"/>
      <c r="Y244" s="25">
        <v>153</v>
      </c>
      <c r="Z244" s="25">
        <v>140.6</v>
      </c>
      <c r="AA244" s="25"/>
      <c r="AB244" s="25">
        <v>145</v>
      </c>
      <c r="AC244" s="25"/>
      <c r="AD244" s="25">
        <v>149.4</v>
      </c>
      <c r="AE244" s="25"/>
      <c r="AF244" s="25">
        <v>126.3</v>
      </c>
      <c r="AG244" s="25"/>
      <c r="AH244" s="25">
        <v>141.69999999999999</v>
      </c>
      <c r="AI244" s="25"/>
      <c r="AJ244" s="25">
        <v>155.4</v>
      </c>
      <c r="AK244" s="25"/>
      <c r="AL244" s="25">
        <v>140</v>
      </c>
      <c r="AM244" s="25"/>
      <c r="AN244" s="25">
        <v>141</v>
      </c>
      <c r="AO244" s="25"/>
      <c r="AP244" s="25">
        <v>147.19999999999999</v>
      </c>
    </row>
    <row r="245" spans="1:42" hidden="1" x14ac:dyDescent="0.3">
      <c r="A245" s="25" t="s">
        <v>30</v>
      </c>
      <c r="B245" s="25">
        <v>2019</v>
      </c>
      <c r="C245" s="25" t="s">
        <v>45</v>
      </c>
      <c r="D245" s="26">
        <f>DATE(B245,MATCH(TRIM(C245),{"January","February","March","April","May","June","July","August","September","October","November","December"},0),1)</f>
        <v>43770</v>
      </c>
      <c r="E245" s="25">
        <v>141.80000000000001</v>
      </c>
      <c r="F245" s="25">
        <v>163.69999999999999</v>
      </c>
      <c r="G245" s="25">
        <v>143.80000000000001</v>
      </c>
      <c r="H245" s="25">
        <v>147.1</v>
      </c>
      <c r="I245" s="25">
        <v>126</v>
      </c>
      <c r="J245" s="25">
        <v>146.19999999999999</v>
      </c>
      <c r="K245" s="25">
        <v>191.4</v>
      </c>
      <c r="L245" s="25">
        <v>136.19999999999999</v>
      </c>
      <c r="M245" s="25">
        <v>113.8</v>
      </c>
      <c r="N245" s="25">
        <v>147.30000000000001</v>
      </c>
      <c r="O245" s="25">
        <v>138.69999999999999</v>
      </c>
      <c r="P245" s="25">
        <v>157.69999999999999</v>
      </c>
      <c r="Q245" s="25">
        <v>150.9</v>
      </c>
      <c r="R245" s="25"/>
      <c r="S245" s="25">
        <v>167.2</v>
      </c>
      <c r="T245" s="25"/>
      <c r="U245" s="25">
        <v>152.30000000000001</v>
      </c>
      <c r="V245" s="25">
        <v>147</v>
      </c>
      <c r="W245" s="25">
        <v>151.5</v>
      </c>
      <c r="X245" s="25"/>
      <c r="Y245" s="25" t="s">
        <v>32</v>
      </c>
      <c r="Z245" s="25">
        <v>148.4</v>
      </c>
      <c r="AA245" s="25"/>
      <c r="AB245" s="25">
        <v>150.9</v>
      </c>
      <c r="AC245" s="25"/>
      <c r="AD245" s="25">
        <v>154.30000000000001</v>
      </c>
      <c r="AE245" s="25"/>
      <c r="AF245" s="25">
        <v>132.1</v>
      </c>
      <c r="AG245" s="25"/>
      <c r="AH245" s="25">
        <v>149.1</v>
      </c>
      <c r="AI245" s="25"/>
      <c r="AJ245" s="25">
        <v>160.80000000000001</v>
      </c>
      <c r="AK245" s="25"/>
      <c r="AL245" s="25">
        <v>140.6</v>
      </c>
      <c r="AM245" s="25"/>
      <c r="AN245" s="25">
        <v>146.1</v>
      </c>
      <c r="AO245" s="25"/>
      <c r="AP245" s="25">
        <v>149.9</v>
      </c>
    </row>
    <row r="246" spans="1:42" hidden="1" x14ac:dyDescent="0.3">
      <c r="A246" s="25" t="s">
        <v>33</v>
      </c>
      <c r="B246" s="25">
        <v>2019</v>
      </c>
      <c r="C246" s="25" t="s">
        <v>45</v>
      </c>
      <c r="D246" s="26">
        <f>DATE(B246,MATCH(TRIM(C246),{"January","February","March","April","May","June","July","August","September","October","November","December"},0),1)</f>
        <v>43770</v>
      </c>
      <c r="E246" s="25">
        <v>144.1</v>
      </c>
      <c r="F246" s="25">
        <v>162.4</v>
      </c>
      <c r="G246" s="25">
        <v>148.4</v>
      </c>
      <c r="H246" s="25">
        <v>145.9</v>
      </c>
      <c r="I246" s="25">
        <v>121.5</v>
      </c>
      <c r="J246" s="25">
        <v>148.80000000000001</v>
      </c>
      <c r="K246" s="25">
        <v>215.7</v>
      </c>
      <c r="L246" s="25">
        <v>134.6</v>
      </c>
      <c r="M246" s="25">
        <v>115</v>
      </c>
      <c r="N246" s="25">
        <v>146.30000000000001</v>
      </c>
      <c r="O246" s="25">
        <v>130.5</v>
      </c>
      <c r="P246" s="25">
        <v>157.19999999999999</v>
      </c>
      <c r="Q246" s="25">
        <v>153.6</v>
      </c>
      <c r="R246" s="25"/>
      <c r="S246" s="25">
        <v>169.9</v>
      </c>
      <c r="T246" s="25"/>
      <c r="U246" s="25">
        <v>146.30000000000001</v>
      </c>
      <c r="V246" s="25">
        <v>132.6</v>
      </c>
      <c r="W246" s="25">
        <v>144.19999999999999</v>
      </c>
      <c r="X246" s="25"/>
      <c r="Y246" s="25">
        <v>153.5</v>
      </c>
      <c r="Z246" s="25">
        <v>132.19999999999999</v>
      </c>
      <c r="AA246" s="25"/>
      <c r="AB246" s="25">
        <v>139.1</v>
      </c>
      <c r="AC246" s="25"/>
      <c r="AD246" s="25">
        <v>142.80000000000001</v>
      </c>
      <c r="AE246" s="25"/>
      <c r="AF246" s="25">
        <v>121.7</v>
      </c>
      <c r="AG246" s="25"/>
      <c r="AH246" s="25">
        <v>136.69999999999999</v>
      </c>
      <c r="AI246" s="25"/>
      <c r="AJ246" s="25">
        <v>151.80000000000001</v>
      </c>
      <c r="AK246" s="25"/>
      <c r="AL246" s="25">
        <v>139.80000000000001</v>
      </c>
      <c r="AM246" s="25"/>
      <c r="AN246" s="25">
        <v>136.30000000000001</v>
      </c>
      <c r="AO246" s="25"/>
      <c r="AP246" s="25">
        <v>147</v>
      </c>
    </row>
    <row r="247" spans="1:42" hidden="1" x14ac:dyDescent="0.3">
      <c r="A247" s="25" t="s">
        <v>34</v>
      </c>
      <c r="B247" s="25">
        <v>2019</v>
      </c>
      <c r="C247" s="25" t="s">
        <v>45</v>
      </c>
      <c r="D247" s="26">
        <f>DATE(B247,MATCH(TRIM(C247),{"January","February","March","April","May","June","July","August","September","October","November","December"},0),1)</f>
        <v>43770</v>
      </c>
      <c r="E247" s="25">
        <v>142.5</v>
      </c>
      <c r="F247" s="25">
        <v>163.19999999999999</v>
      </c>
      <c r="G247" s="25">
        <v>145.6</v>
      </c>
      <c r="H247" s="25">
        <v>146.69999999999999</v>
      </c>
      <c r="I247" s="25">
        <v>124.3</v>
      </c>
      <c r="J247" s="25">
        <v>147.4</v>
      </c>
      <c r="K247" s="25">
        <v>199.6</v>
      </c>
      <c r="L247" s="25">
        <v>135.69999999999999</v>
      </c>
      <c r="M247" s="25">
        <v>114.2</v>
      </c>
      <c r="N247" s="25">
        <v>147</v>
      </c>
      <c r="O247" s="25">
        <v>135.30000000000001</v>
      </c>
      <c r="P247" s="25">
        <v>157.5</v>
      </c>
      <c r="Q247" s="25">
        <v>151.9</v>
      </c>
      <c r="R247" s="25"/>
      <c r="S247" s="25">
        <v>167.9</v>
      </c>
      <c r="T247" s="25"/>
      <c r="U247" s="25">
        <v>149.9</v>
      </c>
      <c r="V247" s="25">
        <v>141</v>
      </c>
      <c r="W247" s="25">
        <v>148.6</v>
      </c>
      <c r="X247" s="25"/>
      <c r="Y247" s="25">
        <v>153.5</v>
      </c>
      <c r="Z247" s="25">
        <v>142.30000000000001</v>
      </c>
      <c r="AA247" s="25"/>
      <c r="AB247" s="25">
        <v>145.30000000000001</v>
      </c>
      <c r="AC247" s="25"/>
      <c r="AD247" s="25">
        <v>149.9</v>
      </c>
      <c r="AE247" s="25"/>
      <c r="AF247" s="25">
        <v>126.6</v>
      </c>
      <c r="AG247" s="25"/>
      <c r="AH247" s="25">
        <v>142.1</v>
      </c>
      <c r="AI247" s="25"/>
      <c r="AJ247" s="25">
        <v>155.5</v>
      </c>
      <c r="AK247" s="25"/>
      <c r="AL247" s="25">
        <v>140.30000000000001</v>
      </c>
      <c r="AM247" s="25"/>
      <c r="AN247" s="25">
        <v>141.30000000000001</v>
      </c>
      <c r="AO247" s="25"/>
      <c r="AP247" s="25">
        <v>148.6</v>
      </c>
    </row>
    <row r="248" spans="1:42" hidden="1" x14ac:dyDescent="0.3">
      <c r="A248" s="25" t="s">
        <v>30</v>
      </c>
      <c r="B248" s="25">
        <v>2019</v>
      </c>
      <c r="C248" s="25" t="s">
        <v>46</v>
      </c>
      <c r="D248" s="26">
        <f>DATE(B248,MATCH(TRIM(C248),{"January","February","March","April","May","June","July","August","September","October","November","December"},0),1)</f>
        <v>43800</v>
      </c>
      <c r="E248" s="25">
        <v>142.80000000000001</v>
      </c>
      <c r="F248" s="25">
        <v>165.3</v>
      </c>
      <c r="G248" s="25">
        <v>149.5</v>
      </c>
      <c r="H248" s="25">
        <v>148.69999999999999</v>
      </c>
      <c r="I248" s="25">
        <v>127.5</v>
      </c>
      <c r="J248" s="25">
        <v>144.30000000000001</v>
      </c>
      <c r="K248" s="25">
        <v>209.5</v>
      </c>
      <c r="L248" s="25">
        <v>138.80000000000001</v>
      </c>
      <c r="M248" s="25">
        <v>113.6</v>
      </c>
      <c r="N248" s="25">
        <v>149.1</v>
      </c>
      <c r="O248" s="25">
        <v>139.30000000000001</v>
      </c>
      <c r="P248" s="25">
        <v>158.30000000000001</v>
      </c>
      <c r="Q248" s="25">
        <v>154.30000000000001</v>
      </c>
      <c r="R248" s="25"/>
      <c r="S248" s="25">
        <v>167.8</v>
      </c>
      <c r="T248" s="25"/>
      <c r="U248" s="25">
        <v>152.6</v>
      </c>
      <c r="V248" s="25">
        <v>147.30000000000001</v>
      </c>
      <c r="W248" s="25">
        <v>151.9</v>
      </c>
      <c r="X248" s="25"/>
      <c r="Y248" s="25" t="s">
        <v>32</v>
      </c>
      <c r="Z248" s="25">
        <v>149.9</v>
      </c>
      <c r="AA248" s="25"/>
      <c r="AB248" s="25">
        <v>151.19999999999999</v>
      </c>
      <c r="AC248" s="25"/>
      <c r="AD248" s="25">
        <v>154.80000000000001</v>
      </c>
      <c r="AE248" s="25"/>
      <c r="AF248" s="25">
        <v>135</v>
      </c>
      <c r="AG248" s="25"/>
      <c r="AH248" s="25">
        <v>149.5</v>
      </c>
      <c r="AI248" s="25"/>
      <c r="AJ248" s="25">
        <v>161.1</v>
      </c>
      <c r="AK248" s="25"/>
      <c r="AL248" s="25">
        <v>140.6</v>
      </c>
      <c r="AM248" s="25"/>
      <c r="AN248" s="25">
        <v>147.1</v>
      </c>
      <c r="AO248" s="25"/>
      <c r="AP248" s="25">
        <v>152.30000000000001</v>
      </c>
    </row>
    <row r="249" spans="1:42" hidden="1" x14ac:dyDescent="0.3">
      <c r="A249" s="25" t="s">
        <v>33</v>
      </c>
      <c r="B249" s="25">
        <v>2019</v>
      </c>
      <c r="C249" s="25" t="s">
        <v>46</v>
      </c>
      <c r="D249" s="26">
        <f>DATE(B249,MATCH(TRIM(C249),{"January","February","March","April","May","June","July","August","September","October","November","December"},0),1)</f>
        <v>43800</v>
      </c>
      <c r="E249" s="25">
        <v>144.9</v>
      </c>
      <c r="F249" s="25">
        <v>164.5</v>
      </c>
      <c r="G249" s="25">
        <v>153.69999999999999</v>
      </c>
      <c r="H249" s="25">
        <v>147.5</v>
      </c>
      <c r="I249" s="25">
        <v>122.7</v>
      </c>
      <c r="J249" s="25">
        <v>147.19999999999999</v>
      </c>
      <c r="K249" s="25">
        <v>231.5</v>
      </c>
      <c r="L249" s="25">
        <v>137.19999999999999</v>
      </c>
      <c r="M249" s="25">
        <v>114.7</v>
      </c>
      <c r="N249" s="25">
        <v>148</v>
      </c>
      <c r="O249" s="25">
        <v>130.80000000000001</v>
      </c>
      <c r="P249" s="25">
        <v>157.69999999999999</v>
      </c>
      <c r="Q249" s="25">
        <v>156.30000000000001</v>
      </c>
      <c r="R249" s="25"/>
      <c r="S249" s="25">
        <v>170.4</v>
      </c>
      <c r="T249" s="25"/>
      <c r="U249" s="25">
        <v>146.80000000000001</v>
      </c>
      <c r="V249" s="25">
        <v>132.80000000000001</v>
      </c>
      <c r="W249" s="25">
        <v>144.6</v>
      </c>
      <c r="X249" s="25"/>
      <c r="Y249" s="25">
        <v>152.80000000000001</v>
      </c>
      <c r="Z249" s="25">
        <v>133.6</v>
      </c>
      <c r="AA249" s="25"/>
      <c r="AB249" s="25">
        <v>139.80000000000001</v>
      </c>
      <c r="AC249" s="25"/>
      <c r="AD249" s="25">
        <v>143.19999999999999</v>
      </c>
      <c r="AE249" s="25"/>
      <c r="AF249" s="25">
        <v>125.2</v>
      </c>
      <c r="AG249" s="25"/>
      <c r="AH249" s="25">
        <v>136.80000000000001</v>
      </c>
      <c r="AI249" s="25"/>
      <c r="AJ249" s="25">
        <v>151.9</v>
      </c>
      <c r="AK249" s="25"/>
      <c r="AL249" s="25">
        <v>140.19999999999999</v>
      </c>
      <c r="AM249" s="25"/>
      <c r="AN249" s="25">
        <v>137.69999999999999</v>
      </c>
      <c r="AO249" s="25"/>
      <c r="AP249" s="25">
        <v>148.30000000000001</v>
      </c>
    </row>
    <row r="250" spans="1:42" hidden="1" x14ac:dyDescent="0.3">
      <c r="A250" s="25" t="s">
        <v>34</v>
      </c>
      <c r="B250" s="25">
        <v>2019</v>
      </c>
      <c r="C250" s="25" t="s">
        <v>46</v>
      </c>
      <c r="D250" s="26">
        <f>DATE(B250,MATCH(TRIM(C250),{"January","February","March","April","May","June","July","August","September","October","November","December"},0),1)</f>
        <v>43800</v>
      </c>
      <c r="E250" s="25">
        <v>143.5</v>
      </c>
      <c r="F250" s="25">
        <v>165</v>
      </c>
      <c r="G250" s="25">
        <v>151.1</v>
      </c>
      <c r="H250" s="25">
        <v>148.30000000000001</v>
      </c>
      <c r="I250" s="25">
        <v>125.7</v>
      </c>
      <c r="J250" s="25">
        <v>145.69999999999999</v>
      </c>
      <c r="K250" s="25">
        <v>217</v>
      </c>
      <c r="L250" s="25">
        <v>138.30000000000001</v>
      </c>
      <c r="M250" s="25">
        <v>114</v>
      </c>
      <c r="N250" s="25">
        <v>148.69999999999999</v>
      </c>
      <c r="O250" s="25">
        <v>135.80000000000001</v>
      </c>
      <c r="P250" s="25">
        <v>158</v>
      </c>
      <c r="Q250" s="25">
        <v>155</v>
      </c>
      <c r="R250" s="25"/>
      <c r="S250" s="25">
        <v>168.5</v>
      </c>
      <c r="T250" s="25"/>
      <c r="U250" s="25">
        <v>150.30000000000001</v>
      </c>
      <c r="V250" s="25">
        <v>141.30000000000001</v>
      </c>
      <c r="W250" s="25">
        <v>149</v>
      </c>
      <c r="X250" s="25"/>
      <c r="Y250" s="25">
        <v>152.80000000000001</v>
      </c>
      <c r="Z250" s="25">
        <v>143.69999999999999</v>
      </c>
      <c r="AA250" s="25"/>
      <c r="AB250" s="25">
        <v>145.80000000000001</v>
      </c>
      <c r="AC250" s="25"/>
      <c r="AD250" s="25">
        <v>150.4</v>
      </c>
      <c r="AE250" s="25"/>
      <c r="AF250" s="25">
        <v>129.80000000000001</v>
      </c>
      <c r="AG250" s="25"/>
      <c r="AH250" s="25">
        <v>142.30000000000001</v>
      </c>
      <c r="AI250" s="25"/>
      <c r="AJ250" s="25">
        <v>155.69999999999999</v>
      </c>
      <c r="AK250" s="25"/>
      <c r="AL250" s="25">
        <v>140.4</v>
      </c>
      <c r="AM250" s="25"/>
      <c r="AN250" s="25">
        <v>142.5</v>
      </c>
      <c r="AO250" s="25"/>
      <c r="AP250" s="25">
        <v>150.4</v>
      </c>
    </row>
    <row r="251" spans="1:42" hidden="1" x14ac:dyDescent="0.3">
      <c r="A251" s="25" t="s">
        <v>30</v>
      </c>
      <c r="B251" s="25">
        <v>2020</v>
      </c>
      <c r="C251" s="25" t="s">
        <v>31</v>
      </c>
      <c r="D251" s="26">
        <f>DATE(B251,MATCH(TRIM(C251),{"January","February","March","April","May","June","July","August","September","October","November","December"},0),1)</f>
        <v>43831</v>
      </c>
      <c r="E251" s="25">
        <v>143.69999999999999</v>
      </c>
      <c r="F251" s="25">
        <v>167.3</v>
      </c>
      <c r="G251" s="25">
        <v>153.5</v>
      </c>
      <c r="H251" s="25">
        <v>150.5</v>
      </c>
      <c r="I251" s="25">
        <v>132</v>
      </c>
      <c r="J251" s="25">
        <v>142.19999999999999</v>
      </c>
      <c r="K251" s="25">
        <v>191.5</v>
      </c>
      <c r="L251" s="25">
        <v>141.1</v>
      </c>
      <c r="M251" s="25">
        <v>113.8</v>
      </c>
      <c r="N251" s="25">
        <v>151.6</v>
      </c>
      <c r="O251" s="25">
        <v>139.69999999999999</v>
      </c>
      <c r="P251" s="25">
        <v>158.69999999999999</v>
      </c>
      <c r="Q251" s="25">
        <v>153</v>
      </c>
      <c r="R251" s="25"/>
      <c r="S251" s="25">
        <v>168.6</v>
      </c>
      <c r="T251" s="25"/>
      <c r="U251" s="25">
        <v>152.80000000000001</v>
      </c>
      <c r="V251" s="25">
        <v>147.4</v>
      </c>
      <c r="W251" s="25">
        <v>152.1</v>
      </c>
      <c r="X251" s="25"/>
      <c r="Y251" s="25" t="s">
        <v>32</v>
      </c>
      <c r="Z251" s="25">
        <v>150.4</v>
      </c>
      <c r="AA251" s="25"/>
      <c r="AB251" s="25">
        <v>151.69999999999999</v>
      </c>
      <c r="AC251" s="25"/>
      <c r="AD251" s="25">
        <v>155.69999999999999</v>
      </c>
      <c r="AE251" s="25"/>
      <c r="AF251" s="25">
        <v>136.30000000000001</v>
      </c>
      <c r="AG251" s="25"/>
      <c r="AH251" s="25">
        <v>150.1</v>
      </c>
      <c r="AI251" s="25"/>
      <c r="AJ251" s="25">
        <v>161.69999999999999</v>
      </c>
      <c r="AK251" s="25"/>
      <c r="AL251" s="25">
        <v>142.5</v>
      </c>
      <c r="AM251" s="25"/>
      <c r="AN251" s="25">
        <v>148.1</v>
      </c>
      <c r="AO251" s="25"/>
      <c r="AP251" s="25">
        <v>151.9</v>
      </c>
    </row>
    <row r="252" spans="1:42" hidden="1" x14ac:dyDescent="0.3">
      <c r="A252" s="25" t="s">
        <v>33</v>
      </c>
      <c r="B252" s="25">
        <v>2020</v>
      </c>
      <c r="C252" s="25" t="s">
        <v>31</v>
      </c>
      <c r="D252" s="26">
        <f>DATE(B252,MATCH(TRIM(C252),{"January","February","March","April","May","June","July","August","September","October","November","December"},0),1)</f>
        <v>43831</v>
      </c>
      <c r="E252" s="25">
        <v>145.6</v>
      </c>
      <c r="F252" s="25">
        <v>167.6</v>
      </c>
      <c r="G252" s="25">
        <v>157</v>
      </c>
      <c r="H252" s="25">
        <v>149.30000000000001</v>
      </c>
      <c r="I252" s="25">
        <v>126.3</v>
      </c>
      <c r="J252" s="25">
        <v>144.4</v>
      </c>
      <c r="K252" s="25">
        <v>207.8</v>
      </c>
      <c r="L252" s="25">
        <v>139.1</v>
      </c>
      <c r="M252" s="25">
        <v>114.8</v>
      </c>
      <c r="N252" s="25">
        <v>149.5</v>
      </c>
      <c r="O252" s="25">
        <v>131.1</v>
      </c>
      <c r="P252" s="25">
        <v>158.5</v>
      </c>
      <c r="Q252" s="25">
        <v>154.4</v>
      </c>
      <c r="R252" s="25"/>
      <c r="S252" s="25">
        <v>170.8</v>
      </c>
      <c r="T252" s="25"/>
      <c r="U252" s="25">
        <v>147</v>
      </c>
      <c r="V252" s="25">
        <v>133.19999999999999</v>
      </c>
      <c r="W252" s="25">
        <v>144.9</v>
      </c>
      <c r="X252" s="25"/>
      <c r="Y252" s="25">
        <v>153.9</v>
      </c>
      <c r="Z252" s="25">
        <v>135.1</v>
      </c>
      <c r="AA252" s="25"/>
      <c r="AB252" s="25">
        <v>140.1</v>
      </c>
      <c r="AC252" s="25"/>
      <c r="AD252" s="25">
        <v>143.80000000000001</v>
      </c>
      <c r="AE252" s="25"/>
      <c r="AF252" s="25">
        <v>126.1</v>
      </c>
      <c r="AG252" s="25"/>
      <c r="AH252" s="25">
        <v>137.19999999999999</v>
      </c>
      <c r="AI252" s="25"/>
      <c r="AJ252" s="25">
        <v>152.1</v>
      </c>
      <c r="AK252" s="25"/>
      <c r="AL252" s="25">
        <v>142.1</v>
      </c>
      <c r="AM252" s="25"/>
      <c r="AN252" s="25">
        <v>138.4</v>
      </c>
      <c r="AO252" s="25"/>
      <c r="AP252" s="25">
        <v>148.19999999999999</v>
      </c>
    </row>
    <row r="253" spans="1:42" hidden="1" x14ac:dyDescent="0.3">
      <c r="A253" s="25" t="s">
        <v>34</v>
      </c>
      <c r="B253" s="25">
        <v>2020</v>
      </c>
      <c r="C253" s="25" t="s">
        <v>31</v>
      </c>
      <c r="D253" s="26">
        <f>DATE(B253,MATCH(TRIM(C253),{"January","February","March","April","May","June","July","August","September","October","November","December"},0),1)</f>
        <v>43831</v>
      </c>
      <c r="E253" s="25">
        <v>144.30000000000001</v>
      </c>
      <c r="F253" s="25">
        <v>167.4</v>
      </c>
      <c r="G253" s="25">
        <v>154.9</v>
      </c>
      <c r="H253" s="25">
        <v>150.1</v>
      </c>
      <c r="I253" s="25">
        <v>129.9</v>
      </c>
      <c r="J253" s="25">
        <v>143.19999999999999</v>
      </c>
      <c r="K253" s="25">
        <v>197</v>
      </c>
      <c r="L253" s="25">
        <v>140.4</v>
      </c>
      <c r="M253" s="25">
        <v>114.1</v>
      </c>
      <c r="N253" s="25">
        <v>150.9</v>
      </c>
      <c r="O253" s="25">
        <v>136.1</v>
      </c>
      <c r="P253" s="25">
        <v>158.6</v>
      </c>
      <c r="Q253" s="25">
        <v>153.5</v>
      </c>
      <c r="R253" s="25"/>
      <c r="S253" s="25">
        <v>169.2</v>
      </c>
      <c r="T253" s="25"/>
      <c r="U253" s="25">
        <v>150.5</v>
      </c>
      <c r="V253" s="25">
        <v>141.5</v>
      </c>
      <c r="W253" s="25">
        <v>149.19999999999999</v>
      </c>
      <c r="X253" s="25"/>
      <c r="Y253" s="25">
        <v>153.9</v>
      </c>
      <c r="Z253" s="25">
        <v>144.6</v>
      </c>
      <c r="AA253" s="25"/>
      <c r="AB253" s="25">
        <v>146.19999999999999</v>
      </c>
      <c r="AC253" s="25"/>
      <c r="AD253" s="25">
        <v>151.19999999999999</v>
      </c>
      <c r="AE253" s="25"/>
      <c r="AF253" s="25">
        <v>130.9</v>
      </c>
      <c r="AG253" s="25"/>
      <c r="AH253" s="25">
        <v>142.80000000000001</v>
      </c>
      <c r="AI253" s="25"/>
      <c r="AJ253" s="25">
        <v>156.1</v>
      </c>
      <c r="AK253" s="25"/>
      <c r="AL253" s="25">
        <v>142.30000000000001</v>
      </c>
      <c r="AM253" s="25"/>
      <c r="AN253" s="25">
        <v>143.4</v>
      </c>
      <c r="AO253" s="25"/>
      <c r="AP253" s="25">
        <v>150.19999999999999</v>
      </c>
    </row>
    <row r="254" spans="1:42" hidden="1" x14ac:dyDescent="0.3">
      <c r="A254" s="25" t="s">
        <v>30</v>
      </c>
      <c r="B254" s="25">
        <v>2020</v>
      </c>
      <c r="C254" s="25" t="s">
        <v>35</v>
      </c>
      <c r="D254" s="26">
        <f>DATE(B254,MATCH(TRIM(C254),{"January","February","March","April","May","June","July","August","September","October","November","December"},0),1)</f>
        <v>43862</v>
      </c>
      <c r="E254" s="25">
        <v>144.19999999999999</v>
      </c>
      <c r="F254" s="25">
        <v>167.5</v>
      </c>
      <c r="G254" s="25">
        <v>150.9</v>
      </c>
      <c r="H254" s="25">
        <v>150.9</v>
      </c>
      <c r="I254" s="25">
        <v>133.69999999999999</v>
      </c>
      <c r="J254" s="25">
        <v>140.69999999999999</v>
      </c>
      <c r="K254" s="25">
        <v>165.1</v>
      </c>
      <c r="L254" s="25">
        <v>141.80000000000001</v>
      </c>
      <c r="M254" s="25">
        <v>113.1</v>
      </c>
      <c r="N254" s="25">
        <v>152.80000000000001</v>
      </c>
      <c r="O254" s="25">
        <v>140.1</v>
      </c>
      <c r="P254" s="25">
        <v>159.19999999999999</v>
      </c>
      <c r="Q254" s="25">
        <v>149.80000000000001</v>
      </c>
      <c r="R254" s="25"/>
      <c r="S254" s="25">
        <v>169.4</v>
      </c>
      <c r="T254" s="25"/>
      <c r="U254" s="25">
        <v>153</v>
      </c>
      <c r="V254" s="25">
        <v>147.5</v>
      </c>
      <c r="W254" s="25">
        <v>152.30000000000001</v>
      </c>
      <c r="X254" s="25"/>
      <c r="Y254" s="25" t="s">
        <v>32</v>
      </c>
      <c r="Z254" s="25">
        <v>152.30000000000001</v>
      </c>
      <c r="AA254" s="25"/>
      <c r="AB254" s="25">
        <v>151.80000000000001</v>
      </c>
      <c r="AC254" s="25"/>
      <c r="AD254" s="25">
        <v>156.19999999999999</v>
      </c>
      <c r="AE254" s="25"/>
      <c r="AF254" s="25">
        <v>136</v>
      </c>
      <c r="AG254" s="25"/>
      <c r="AH254" s="25">
        <v>150.4</v>
      </c>
      <c r="AI254" s="25"/>
      <c r="AJ254" s="25">
        <v>161.9</v>
      </c>
      <c r="AK254" s="25"/>
      <c r="AL254" s="25">
        <v>143.4</v>
      </c>
      <c r="AM254" s="25"/>
      <c r="AN254" s="25">
        <v>148.4</v>
      </c>
      <c r="AO254" s="25"/>
      <c r="AP254" s="25">
        <v>150.4</v>
      </c>
    </row>
    <row r="255" spans="1:42" hidden="1" x14ac:dyDescent="0.3">
      <c r="A255" s="25" t="s">
        <v>33</v>
      </c>
      <c r="B255" s="25">
        <v>2020</v>
      </c>
      <c r="C255" s="25" t="s">
        <v>35</v>
      </c>
      <c r="D255" s="26">
        <f>DATE(B255,MATCH(TRIM(C255),{"January","February","March","April","May","June","July","August","September","October","November","December"},0),1)</f>
        <v>43862</v>
      </c>
      <c r="E255" s="25">
        <v>146.19999999999999</v>
      </c>
      <c r="F255" s="25">
        <v>167.6</v>
      </c>
      <c r="G255" s="25">
        <v>153.1</v>
      </c>
      <c r="H255" s="25">
        <v>150.69999999999999</v>
      </c>
      <c r="I255" s="25">
        <v>127.4</v>
      </c>
      <c r="J255" s="25">
        <v>143.1</v>
      </c>
      <c r="K255" s="25">
        <v>181.7</v>
      </c>
      <c r="L255" s="25">
        <v>139.6</v>
      </c>
      <c r="M255" s="25">
        <v>114.6</v>
      </c>
      <c r="N255" s="25">
        <v>150.4</v>
      </c>
      <c r="O255" s="25">
        <v>131.5</v>
      </c>
      <c r="P255" s="25">
        <v>159</v>
      </c>
      <c r="Q255" s="25">
        <v>151.69999999999999</v>
      </c>
      <c r="R255" s="25"/>
      <c r="S255" s="25">
        <v>172</v>
      </c>
      <c r="T255" s="25"/>
      <c r="U255" s="25">
        <v>147.30000000000001</v>
      </c>
      <c r="V255" s="25">
        <v>133.5</v>
      </c>
      <c r="W255" s="25">
        <v>145.19999999999999</v>
      </c>
      <c r="X255" s="25"/>
      <c r="Y255" s="25">
        <v>154.80000000000001</v>
      </c>
      <c r="Z255" s="25">
        <v>138.9</v>
      </c>
      <c r="AA255" s="25"/>
      <c r="AB255" s="25">
        <v>140.4</v>
      </c>
      <c r="AC255" s="25"/>
      <c r="AD255" s="25">
        <v>144.4</v>
      </c>
      <c r="AE255" s="25"/>
      <c r="AF255" s="25">
        <v>125.2</v>
      </c>
      <c r="AG255" s="25"/>
      <c r="AH255" s="25">
        <v>137.69999999999999</v>
      </c>
      <c r="AI255" s="25"/>
      <c r="AJ255" s="25">
        <v>152.19999999999999</v>
      </c>
      <c r="AK255" s="25"/>
      <c r="AL255" s="25">
        <v>143.5</v>
      </c>
      <c r="AM255" s="25"/>
      <c r="AN255" s="25">
        <v>138.4</v>
      </c>
      <c r="AO255" s="25"/>
      <c r="AP255" s="25">
        <v>147.69999999999999</v>
      </c>
    </row>
    <row r="256" spans="1:42" hidden="1" x14ac:dyDescent="0.3">
      <c r="A256" s="25" t="s">
        <v>34</v>
      </c>
      <c r="B256" s="25">
        <v>2020</v>
      </c>
      <c r="C256" s="25" t="s">
        <v>35</v>
      </c>
      <c r="D256" s="26">
        <f>DATE(B256,MATCH(TRIM(C256),{"January","February","March","April","May","June","July","August","September","October","November","December"},0),1)</f>
        <v>43862</v>
      </c>
      <c r="E256" s="25">
        <v>144.80000000000001</v>
      </c>
      <c r="F256" s="25">
        <v>167.5</v>
      </c>
      <c r="G256" s="25">
        <v>151.80000000000001</v>
      </c>
      <c r="H256" s="25">
        <v>150.80000000000001</v>
      </c>
      <c r="I256" s="25">
        <v>131.4</v>
      </c>
      <c r="J256" s="25">
        <v>141.80000000000001</v>
      </c>
      <c r="K256" s="25">
        <v>170.7</v>
      </c>
      <c r="L256" s="25">
        <v>141.1</v>
      </c>
      <c r="M256" s="25">
        <v>113.6</v>
      </c>
      <c r="N256" s="25">
        <v>152</v>
      </c>
      <c r="O256" s="25">
        <v>136.5</v>
      </c>
      <c r="P256" s="25">
        <v>159.1</v>
      </c>
      <c r="Q256" s="25">
        <v>150.5</v>
      </c>
      <c r="R256" s="25"/>
      <c r="S256" s="25">
        <v>170.1</v>
      </c>
      <c r="T256" s="25"/>
      <c r="U256" s="25">
        <v>150.80000000000001</v>
      </c>
      <c r="V256" s="25">
        <v>141.69999999999999</v>
      </c>
      <c r="W256" s="25">
        <v>149.5</v>
      </c>
      <c r="X256" s="25"/>
      <c r="Y256" s="25">
        <v>154.80000000000001</v>
      </c>
      <c r="Z256" s="25">
        <v>147.19999999999999</v>
      </c>
      <c r="AA256" s="25"/>
      <c r="AB256" s="25">
        <v>146.4</v>
      </c>
      <c r="AC256" s="25"/>
      <c r="AD256" s="25">
        <v>151.69999999999999</v>
      </c>
      <c r="AE256" s="25"/>
      <c r="AF256" s="25">
        <v>130.30000000000001</v>
      </c>
      <c r="AG256" s="25"/>
      <c r="AH256" s="25">
        <v>143.19999999999999</v>
      </c>
      <c r="AI256" s="25"/>
      <c r="AJ256" s="25">
        <v>156.19999999999999</v>
      </c>
      <c r="AK256" s="25"/>
      <c r="AL256" s="25">
        <v>143.4</v>
      </c>
      <c r="AM256" s="25"/>
      <c r="AN256" s="25">
        <v>143.6</v>
      </c>
      <c r="AO256" s="25"/>
      <c r="AP256" s="25">
        <v>149.1</v>
      </c>
    </row>
    <row r="257" spans="1:42" hidden="1" x14ac:dyDescent="0.3">
      <c r="A257" s="25" t="s">
        <v>30</v>
      </c>
      <c r="B257" s="25">
        <v>2020</v>
      </c>
      <c r="C257" s="25" t="s">
        <v>36</v>
      </c>
      <c r="D257" s="26">
        <f>DATE(B257,MATCH(TRIM(C257),{"January","February","March","April","May","June","July","August","September","October","November","December"},0),1)</f>
        <v>43891</v>
      </c>
      <c r="E257" s="25">
        <v>144.4</v>
      </c>
      <c r="F257" s="25">
        <v>166.8</v>
      </c>
      <c r="G257" s="25">
        <v>147.6</v>
      </c>
      <c r="H257" s="25">
        <v>151.69999999999999</v>
      </c>
      <c r="I257" s="25">
        <v>133.30000000000001</v>
      </c>
      <c r="J257" s="25">
        <v>141.80000000000001</v>
      </c>
      <c r="K257" s="25">
        <v>152.30000000000001</v>
      </c>
      <c r="L257" s="25">
        <v>141.80000000000001</v>
      </c>
      <c r="M257" s="25">
        <v>112.6</v>
      </c>
      <c r="N257" s="25">
        <v>154</v>
      </c>
      <c r="O257" s="25">
        <v>140.1</v>
      </c>
      <c r="P257" s="25">
        <v>160</v>
      </c>
      <c r="Q257" s="25">
        <v>148.19999999999999</v>
      </c>
      <c r="R257" s="25"/>
      <c r="S257" s="25">
        <v>170.5</v>
      </c>
      <c r="T257" s="25"/>
      <c r="U257" s="25">
        <v>153.4</v>
      </c>
      <c r="V257" s="25">
        <v>147.6</v>
      </c>
      <c r="W257" s="25">
        <v>152.5</v>
      </c>
      <c r="X257" s="25"/>
      <c r="Y257" s="25" t="s">
        <v>32</v>
      </c>
      <c r="Z257" s="25">
        <v>153.4</v>
      </c>
      <c r="AA257" s="25"/>
      <c r="AB257" s="25">
        <v>151.5</v>
      </c>
      <c r="AC257" s="25"/>
      <c r="AD257" s="25">
        <v>156.69999999999999</v>
      </c>
      <c r="AE257" s="25"/>
      <c r="AF257" s="25">
        <v>135.80000000000001</v>
      </c>
      <c r="AG257" s="25"/>
      <c r="AH257" s="25">
        <v>151.19999999999999</v>
      </c>
      <c r="AI257" s="25"/>
      <c r="AJ257" s="25">
        <v>161.19999999999999</v>
      </c>
      <c r="AK257" s="25"/>
      <c r="AL257" s="25">
        <v>145.1</v>
      </c>
      <c r="AM257" s="25"/>
      <c r="AN257" s="25">
        <v>148.6</v>
      </c>
      <c r="AO257" s="25"/>
      <c r="AP257" s="25">
        <v>149.80000000000001</v>
      </c>
    </row>
    <row r="258" spans="1:42" hidden="1" x14ac:dyDescent="0.3">
      <c r="A258" s="25" t="s">
        <v>33</v>
      </c>
      <c r="B258" s="25">
        <v>2020</v>
      </c>
      <c r="C258" s="25" t="s">
        <v>36</v>
      </c>
      <c r="D258" s="26">
        <f>DATE(B258,MATCH(TRIM(C258),{"January","February","March","April","May","June","July","August","September","October","November","December"},0),1)</f>
        <v>43891</v>
      </c>
      <c r="E258" s="25">
        <v>146.5</v>
      </c>
      <c r="F258" s="25">
        <v>167.5</v>
      </c>
      <c r="G258" s="25">
        <v>148.9</v>
      </c>
      <c r="H258" s="25">
        <v>151.1</v>
      </c>
      <c r="I258" s="25">
        <v>127.5</v>
      </c>
      <c r="J258" s="25">
        <v>143.30000000000001</v>
      </c>
      <c r="K258" s="25">
        <v>167</v>
      </c>
      <c r="L258" s="25">
        <v>139.69999999999999</v>
      </c>
      <c r="M258" s="25">
        <v>114.4</v>
      </c>
      <c r="N258" s="25">
        <v>151.5</v>
      </c>
      <c r="O258" s="25">
        <v>131.9</v>
      </c>
      <c r="P258" s="25">
        <v>159.1</v>
      </c>
      <c r="Q258" s="25">
        <v>150.1</v>
      </c>
      <c r="R258" s="25"/>
      <c r="S258" s="25">
        <v>173.3</v>
      </c>
      <c r="T258" s="25"/>
      <c r="U258" s="25">
        <v>147.69999999999999</v>
      </c>
      <c r="V258" s="25">
        <v>133.80000000000001</v>
      </c>
      <c r="W258" s="25">
        <v>145.6</v>
      </c>
      <c r="X258" s="25"/>
      <c r="Y258" s="25">
        <v>154.5</v>
      </c>
      <c r="Z258" s="25">
        <v>141.4</v>
      </c>
      <c r="AA258" s="25"/>
      <c r="AB258" s="25">
        <v>140.80000000000001</v>
      </c>
      <c r="AC258" s="25"/>
      <c r="AD258" s="25">
        <v>145</v>
      </c>
      <c r="AE258" s="25"/>
      <c r="AF258" s="25">
        <v>124.6</v>
      </c>
      <c r="AG258" s="25"/>
      <c r="AH258" s="25">
        <v>137.9</v>
      </c>
      <c r="AI258" s="25"/>
      <c r="AJ258" s="25">
        <v>152.5</v>
      </c>
      <c r="AK258" s="25"/>
      <c r="AL258" s="25">
        <v>145.30000000000001</v>
      </c>
      <c r="AM258" s="25"/>
      <c r="AN258" s="25">
        <v>138.69999999999999</v>
      </c>
      <c r="AO258" s="25"/>
      <c r="AP258" s="25">
        <v>147.30000000000001</v>
      </c>
    </row>
    <row r="259" spans="1:42" hidden="1" x14ac:dyDescent="0.3">
      <c r="A259" s="25" t="s">
        <v>34</v>
      </c>
      <c r="B259" s="25">
        <v>2020</v>
      </c>
      <c r="C259" s="25" t="s">
        <v>36</v>
      </c>
      <c r="D259" s="26">
        <f>DATE(B259,MATCH(TRIM(C259),{"January","February","March","April","May","June","July","August","September","October","November","December"},0),1)</f>
        <v>43891</v>
      </c>
      <c r="E259" s="25">
        <v>145.1</v>
      </c>
      <c r="F259" s="25">
        <v>167</v>
      </c>
      <c r="G259" s="25">
        <v>148.1</v>
      </c>
      <c r="H259" s="25">
        <v>151.5</v>
      </c>
      <c r="I259" s="25">
        <v>131.19999999999999</v>
      </c>
      <c r="J259" s="25">
        <v>142.5</v>
      </c>
      <c r="K259" s="25">
        <v>157.30000000000001</v>
      </c>
      <c r="L259" s="25">
        <v>141.1</v>
      </c>
      <c r="M259" s="25">
        <v>113.2</v>
      </c>
      <c r="N259" s="25">
        <v>153.19999999999999</v>
      </c>
      <c r="O259" s="25">
        <v>136.69999999999999</v>
      </c>
      <c r="P259" s="25">
        <v>159.6</v>
      </c>
      <c r="Q259" s="25">
        <v>148.9</v>
      </c>
      <c r="R259" s="25"/>
      <c r="S259" s="25">
        <v>171.2</v>
      </c>
      <c r="T259" s="25"/>
      <c r="U259" s="25">
        <v>151.19999999999999</v>
      </c>
      <c r="V259" s="25">
        <v>141.9</v>
      </c>
      <c r="W259" s="25">
        <v>149.80000000000001</v>
      </c>
      <c r="X259" s="25"/>
      <c r="Y259" s="25">
        <v>154.5</v>
      </c>
      <c r="Z259" s="25">
        <v>148.9</v>
      </c>
      <c r="AA259" s="25"/>
      <c r="AB259" s="25">
        <v>146.4</v>
      </c>
      <c r="AC259" s="25"/>
      <c r="AD259" s="25">
        <v>152.30000000000001</v>
      </c>
      <c r="AE259" s="25"/>
      <c r="AF259" s="25">
        <v>129.9</v>
      </c>
      <c r="AG259" s="25"/>
      <c r="AH259" s="25">
        <v>143.69999999999999</v>
      </c>
      <c r="AI259" s="25"/>
      <c r="AJ259" s="25">
        <v>156.1</v>
      </c>
      <c r="AK259" s="25"/>
      <c r="AL259" s="25">
        <v>145.19999999999999</v>
      </c>
      <c r="AM259" s="25"/>
      <c r="AN259" s="25">
        <v>143.80000000000001</v>
      </c>
      <c r="AO259" s="25"/>
      <c r="AP259" s="25">
        <v>148.6</v>
      </c>
    </row>
    <row r="260" spans="1:42" hidden="1" x14ac:dyDescent="0.3">
      <c r="A260" s="25" t="s">
        <v>30</v>
      </c>
      <c r="B260" s="25">
        <v>2020</v>
      </c>
      <c r="C260" s="25" t="s">
        <v>37</v>
      </c>
      <c r="D260" s="26">
        <f>DATE(B260,MATCH(TRIM(C260),{"January","February","March","April","May","June","July","August","September","October","November","December"},0),1)</f>
        <v>43922</v>
      </c>
      <c r="E260" s="25">
        <v>147.19999999999999</v>
      </c>
      <c r="F260" s="25" t="s">
        <v>32</v>
      </c>
      <c r="G260" s="25">
        <v>146.9</v>
      </c>
      <c r="H260" s="25">
        <v>155.6</v>
      </c>
      <c r="I260" s="25">
        <v>137.1</v>
      </c>
      <c r="J260" s="25">
        <v>147.30000000000001</v>
      </c>
      <c r="K260" s="25">
        <v>162.69999999999999</v>
      </c>
      <c r="L260" s="25">
        <v>150.19999999999999</v>
      </c>
      <c r="M260" s="25">
        <v>119.8</v>
      </c>
      <c r="N260" s="25">
        <v>158.69999999999999</v>
      </c>
      <c r="O260" s="25">
        <v>139.19999999999999</v>
      </c>
      <c r="P260" s="25" t="s">
        <v>32</v>
      </c>
      <c r="Q260" s="25">
        <v>150.1</v>
      </c>
      <c r="R260" s="25"/>
      <c r="S260" s="25" t="s">
        <v>32</v>
      </c>
      <c r="T260" s="25"/>
      <c r="U260" s="25" t="s">
        <v>32</v>
      </c>
      <c r="V260" s="25" t="s">
        <v>32</v>
      </c>
      <c r="W260" s="25" t="s">
        <v>32</v>
      </c>
      <c r="X260" s="25"/>
      <c r="Y260" s="25" t="s">
        <v>32</v>
      </c>
      <c r="Z260" s="25">
        <v>148.4</v>
      </c>
      <c r="AA260" s="25"/>
      <c r="AB260" s="25" t="s">
        <v>32</v>
      </c>
      <c r="AC260" s="25"/>
      <c r="AD260" s="25">
        <v>154.30000000000001</v>
      </c>
      <c r="AE260" s="25"/>
      <c r="AF260" s="25" t="s">
        <v>32</v>
      </c>
      <c r="AG260" s="25"/>
      <c r="AH260" s="25" t="s">
        <v>32</v>
      </c>
      <c r="AI260" s="25"/>
      <c r="AJ260" s="25" t="s">
        <v>32</v>
      </c>
      <c r="AK260" s="25"/>
      <c r="AL260" s="25" t="s">
        <v>32</v>
      </c>
      <c r="AM260" s="25"/>
      <c r="AN260" s="25" t="s">
        <v>32</v>
      </c>
      <c r="AO260" s="25"/>
      <c r="AP260" s="25" t="s">
        <v>32</v>
      </c>
    </row>
    <row r="261" spans="1:42" hidden="1" x14ac:dyDescent="0.3">
      <c r="A261" s="25" t="s">
        <v>33</v>
      </c>
      <c r="B261" s="25">
        <v>2020</v>
      </c>
      <c r="C261" s="25" t="s">
        <v>37</v>
      </c>
      <c r="D261" s="26">
        <f>DATE(B261,MATCH(TRIM(C261),{"January","February","March","April","May","June","July","August","September","October","November","December"},0),1)</f>
        <v>43922</v>
      </c>
      <c r="E261" s="25">
        <v>151.80000000000001</v>
      </c>
      <c r="F261" s="25" t="s">
        <v>32</v>
      </c>
      <c r="G261" s="25">
        <v>151.9</v>
      </c>
      <c r="H261" s="25">
        <v>155.5</v>
      </c>
      <c r="I261" s="25">
        <v>131.6</v>
      </c>
      <c r="J261" s="25">
        <v>152.9</v>
      </c>
      <c r="K261" s="25">
        <v>180</v>
      </c>
      <c r="L261" s="25">
        <v>150.80000000000001</v>
      </c>
      <c r="M261" s="25">
        <v>121.2</v>
      </c>
      <c r="N261" s="25">
        <v>154</v>
      </c>
      <c r="O261" s="25">
        <v>133.5</v>
      </c>
      <c r="P261" s="25" t="s">
        <v>32</v>
      </c>
      <c r="Q261" s="25">
        <v>153.5</v>
      </c>
      <c r="R261" s="25"/>
      <c r="S261" s="25" t="s">
        <v>32</v>
      </c>
      <c r="T261" s="25"/>
      <c r="U261" s="25" t="s">
        <v>32</v>
      </c>
      <c r="V261" s="25" t="s">
        <v>32</v>
      </c>
      <c r="W261" s="25" t="s">
        <v>32</v>
      </c>
      <c r="X261" s="25"/>
      <c r="Y261" s="25">
        <v>155.6</v>
      </c>
      <c r="Z261" s="25">
        <v>137.1</v>
      </c>
      <c r="AA261" s="25"/>
      <c r="AB261" s="25" t="s">
        <v>32</v>
      </c>
      <c r="AC261" s="25"/>
      <c r="AD261" s="25">
        <v>144.80000000000001</v>
      </c>
      <c r="AE261" s="25"/>
      <c r="AF261" s="25" t="s">
        <v>32</v>
      </c>
      <c r="AG261" s="25"/>
      <c r="AH261" s="25" t="s">
        <v>32</v>
      </c>
      <c r="AI261" s="25"/>
      <c r="AJ261" s="25" t="s">
        <v>32</v>
      </c>
      <c r="AK261" s="25"/>
      <c r="AL261" s="25" t="s">
        <v>32</v>
      </c>
      <c r="AM261" s="25"/>
      <c r="AN261" s="25" t="s">
        <v>32</v>
      </c>
      <c r="AO261" s="25"/>
      <c r="AP261" s="25" t="s">
        <v>32</v>
      </c>
    </row>
    <row r="262" spans="1:42" hidden="1" x14ac:dyDescent="0.3">
      <c r="A262" s="25" t="s">
        <v>34</v>
      </c>
      <c r="B262" s="25">
        <v>2020</v>
      </c>
      <c r="C262" s="25" t="s">
        <v>37</v>
      </c>
      <c r="D262" s="26">
        <f>DATE(B262,MATCH(TRIM(C262),{"January","February","March","April","May","June","July","August","September","October","November","December"},0),1)</f>
        <v>43922</v>
      </c>
      <c r="E262" s="25">
        <v>148.69999999999999</v>
      </c>
      <c r="F262" s="25" t="s">
        <v>32</v>
      </c>
      <c r="G262" s="25">
        <v>148.80000000000001</v>
      </c>
      <c r="H262" s="25">
        <v>155.6</v>
      </c>
      <c r="I262" s="25">
        <v>135.1</v>
      </c>
      <c r="J262" s="25">
        <v>149.9</v>
      </c>
      <c r="K262" s="25">
        <v>168.6</v>
      </c>
      <c r="L262" s="25">
        <v>150.4</v>
      </c>
      <c r="M262" s="25">
        <v>120.3</v>
      </c>
      <c r="N262" s="25">
        <v>157.1</v>
      </c>
      <c r="O262" s="25">
        <v>136.80000000000001</v>
      </c>
      <c r="P262" s="25" t="s">
        <v>32</v>
      </c>
      <c r="Q262" s="25">
        <v>151.4</v>
      </c>
      <c r="R262" s="25"/>
      <c r="S262" s="25" t="s">
        <v>32</v>
      </c>
      <c r="T262" s="25"/>
      <c r="U262" s="25" t="s">
        <v>32</v>
      </c>
      <c r="V262" s="25" t="s">
        <v>32</v>
      </c>
      <c r="W262" s="25" t="s">
        <v>32</v>
      </c>
      <c r="X262" s="25"/>
      <c r="Y262" s="25">
        <v>155.6</v>
      </c>
      <c r="Z262" s="25">
        <v>144.1</v>
      </c>
      <c r="AA262" s="25"/>
      <c r="AB262" s="25" t="s">
        <v>32</v>
      </c>
      <c r="AC262" s="25"/>
      <c r="AD262" s="25">
        <v>150.69999999999999</v>
      </c>
      <c r="AE262" s="25"/>
      <c r="AF262" s="25" t="s">
        <v>32</v>
      </c>
      <c r="AG262" s="25"/>
      <c r="AH262" s="25" t="s">
        <v>32</v>
      </c>
      <c r="AI262" s="25"/>
      <c r="AJ262" s="25" t="s">
        <v>32</v>
      </c>
      <c r="AK262" s="25"/>
      <c r="AL262" s="25" t="s">
        <v>32</v>
      </c>
      <c r="AM262" s="25"/>
      <c r="AN262" s="25" t="s">
        <v>32</v>
      </c>
      <c r="AO262" s="25"/>
      <c r="AP262" s="25" t="s">
        <v>32</v>
      </c>
    </row>
    <row r="263" spans="1:42" hidden="1" x14ac:dyDescent="0.3">
      <c r="A263" s="25" t="s">
        <v>30</v>
      </c>
      <c r="B263" s="25">
        <v>2020</v>
      </c>
      <c r="C263" s="25" t="s">
        <v>38</v>
      </c>
      <c r="D263" s="26">
        <f>DATE(B263,MATCH(TRIM(C263),{"January","February","March","April","May","June","July","August","September","October","November","December"},0),1)</f>
        <v>43952</v>
      </c>
      <c r="E263" s="25" t="s">
        <v>32</v>
      </c>
      <c r="F263" s="25" t="s">
        <v>32</v>
      </c>
      <c r="G263" s="25" t="s">
        <v>32</v>
      </c>
      <c r="H263" s="25" t="s">
        <v>32</v>
      </c>
      <c r="I263" s="25" t="s">
        <v>32</v>
      </c>
      <c r="J263" s="25" t="s">
        <v>32</v>
      </c>
      <c r="K263" s="25" t="s">
        <v>32</v>
      </c>
      <c r="L263" s="25" t="s">
        <v>32</v>
      </c>
      <c r="M263" s="25" t="s">
        <v>32</v>
      </c>
      <c r="N263" s="25" t="s">
        <v>32</v>
      </c>
      <c r="O263" s="25" t="s">
        <v>32</v>
      </c>
      <c r="P263" s="25" t="s">
        <v>32</v>
      </c>
      <c r="Q263" s="25" t="s">
        <v>32</v>
      </c>
      <c r="R263" s="25"/>
      <c r="S263" s="25" t="s">
        <v>32</v>
      </c>
      <c r="T263" s="25"/>
      <c r="U263" s="25" t="s">
        <v>32</v>
      </c>
      <c r="V263" s="25" t="s">
        <v>32</v>
      </c>
      <c r="W263" s="25" t="s">
        <v>32</v>
      </c>
      <c r="X263" s="25"/>
      <c r="Y263" s="25" t="s">
        <v>32</v>
      </c>
      <c r="Z263" s="25" t="s">
        <v>32</v>
      </c>
      <c r="AA263" s="25"/>
      <c r="AB263" s="25" t="s">
        <v>32</v>
      </c>
      <c r="AC263" s="25"/>
      <c r="AD263" s="25" t="s">
        <v>32</v>
      </c>
      <c r="AE263" s="25"/>
      <c r="AF263" s="25" t="s">
        <v>32</v>
      </c>
      <c r="AG263" s="25"/>
      <c r="AH263" s="25" t="s">
        <v>32</v>
      </c>
      <c r="AI263" s="25"/>
      <c r="AJ263" s="25" t="s">
        <v>32</v>
      </c>
      <c r="AK263" s="25"/>
      <c r="AL263" s="25" t="s">
        <v>32</v>
      </c>
      <c r="AM263" s="25"/>
      <c r="AN263" s="25" t="s">
        <v>32</v>
      </c>
      <c r="AO263" s="25"/>
      <c r="AP263" s="25" t="s">
        <v>32</v>
      </c>
    </row>
    <row r="264" spans="1:42" hidden="1" x14ac:dyDescent="0.3">
      <c r="A264" s="25" t="s">
        <v>33</v>
      </c>
      <c r="B264" s="25">
        <v>2020</v>
      </c>
      <c r="C264" s="25" t="s">
        <v>38</v>
      </c>
      <c r="D264" s="26">
        <f>DATE(B264,MATCH(TRIM(C264),{"January","February","March","April","May","June","July","August","September","October","November","December"},0),1)</f>
        <v>43952</v>
      </c>
      <c r="E264" s="25" t="s">
        <v>32</v>
      </c>
      <c r="F264" s="25" t="s">
        <v>32</v>
      </c>
      <c r="G264" s="25" t="s">
        <v>32</v>
      </c>
      <c r="H264" s="25" t="s">
        <v>32</v>
      </c>
      <c r="I264" s="25" t="s">
        <v>32</v>
      </c>
      <c r="J264" s="25" t="s">
        <v>32</v>
      </c>
      <c r="K264" s="25" t="s">
        <v>32</v>
      </c>
      <c r="L264" s="25" t="s">
        <v>32</v>
      </c>
      <c r="M264" s="25" t="s">
        <v>32</v>
      </c>
      <c r="N264" s="25" t="s">
        <v>32</v>
      </c>
      <c r="O264" s="25" t="s">
        <v>32</v>
      </c>
      <c r="P264" s="25" t="s">
        <v>32</v>
      </c>
      <c r="Q264" s="25" t="s">
        <v>32</v>
      </c>
      <c r="R264" s="25"/>
      <c r="S264" s="25" t="s">
        <v>32</v>
      </c>
      <c r="T264" s="25"/>
      <c r="U264" s="25" t="s">
        <v>32</v>
      </c>
      <c r="V264" s="25" t="s">
        <v>32</v>
      </c>
      <c r="W264" s="25" t="s">
        <v>32</v>
      </c>
      <c r="X264" s="25"/>
      <c r="Y264" s="25" t="s">
        <v>32</v>
      </c>
      <c r="Z264" s="25" t="s">
        <v>32</v>
      </c>
      <c r="AA264" s="25"/>
      <c r="AB264" s="25" t="s">
        <v>32</v>
      </c>
      <c r="AC264" s="25"/>
      <c r="AD264" s="25" t="s">
        <v>32</v>
      </c>
      <c r="AE264" s="25"/>
      <c r="AF264" s="25" t="s">
        <v>32</v>
      </c>
      <c r="AG264" s="25"/>
      <c r="AH264" s="25" t="s">
        <v>32</v>
      </c>
      <c r="AI264" s="25"/>
      <c r="AJ264" s="25" t="s">
        <v>32</v>
      </c>
      <c r="AK264" s="25"/>
      <c r="AL264" s="25" t="s">
        <v>32</v>
      </c>
      <c r="AM264" s="25"/>
      <c r="AN264" s="25" t="s">
        <v>32</v>
      </c>
      <c r="AO264" s="25"/>
      <c r="AP264" s="25" t="s">
        <v>32</v>
      </c>
    </row>
    <row r="265" spans="1:42" hidden="1" x14ac:dyDescent="0.3">
      <c r="A265" s="25" t="s">
        <v>34</v>
      </c>
      <c r="B265" s="25">
        <v>2020</v>
      </c>
      <c r="C265" s="25" t="s">
        <v>38</v>
      </c>
      <c r="D265" s="26">
        <f>DATE(B265,MATCH(TRIM(C265),{"January","February","March","April","May","June","July","August","September","October","November","December"},0),1)</f>
        <v>43952</v>
      </c>
      <c r="E265" s="25" t="s">
        <v>32</v>
      </c>
      <c r="F265" s="25" t="s">
        <v>32</v>
      </c>
      <c r="G265" s="25" t="s">
        <v>32</v>
      </c>
      <c r="H265" s="25" t="s">
        <v>32</v>
      </c>
      <c r="I265" s="25" t="s">
        <v>32</v>
      </c>
      <c r="J265" s="25" t="s">
        <v>32</v>
      </c>
      <c r="K265" s="25" t="s">
        <v>32</v>
      </c>
      <c r="L265" s="25" t="s">
        <v>32</v>
      </c>
      <c r="M265" s="25" t="s">
        <v>32</v>
      </c>
      <c r="N265" s="25" t="s">
        <v>32</v>
      </c>
      <c r="O265" s="25" t="s">
        <v>32</v>
      </c>
      <c r="P265" s="25" t="s">
        <v>32</v>
      </c>
      <c r="Q265" s="25" t="s">
        <v>32</v>
      </c>
      <c r="R265" s="25"/>
      <c r="S265" s="25" t="s">
        <v>32</v>
      </c>
      <c r="T265" s="25"/>
      <c r="U265" s="25" t="s">
        <v>32</v>
      </c>
      <c r="V265" s="25" t="s">
        <v>32</v>
      </c>
      <c r="W265" s="25" t="s">
        <v>32</v>
      </c>
      <c r="X265" s="25"/>
      <c r="Y265" s="25" t="s">
        <v>32</v>
      </c>
      <c r="Z265" s="25" t="s">
        <v>32</v>
      </c>
      <c r="AA265" s="25"/>
      <c r="AB265" s="25" t="s">
        <v>32</v>
      </c>
      <c r="AC265" s="25"/>
      <c r="AD265" s="25" t="s">
        <v>32</v>
      </c>
      <c r="AE265" s="25"/>
      <c r="AF265" s="25" t="s">
        <v>32</v>
      </c>
      <c r="AG265" s="25"/>
      <c r="AH265" s="25" t="s">
        <v>32</v>
      </c>
      <c r="AI265" s="25"/>
      <c r="AJ265" s="25" t="s">
        <v>32</v>
      </c>
      <c r="AK265" s="25"/>
      <c r="AL265" s="25" t="s">
        <v>32</v>
      </c>
      <c r="AM265" s="25"/>
      <c r="AN265" s="25" t="s">
        <v>32</v>
      </c>
      <c r="AO265" s="25"/>
      <c r="AP265" s="25" t="s">
        <v>32</v>
      </c>
    </row>
    <row r="266" spans="1:42" hidden="1" x14ac:dyDescent="0.3">
      <c r="A266" s="25" t="s">
        <v>30</v>
      </c>
      <c r="B266" s="25">
        <v>2020</v>
      </c>
      <c r="C266" s="25" t="s">
        <v>39</v>
      </c>
      <c r="D266" s="26">
        <f>DATE(B266,MATCH(TRIM(C266),{"January","February","March","April","May","June","July","August","September","October","November","December"},0),1)</f>
        <v>43983</v>
      </c>
      <c r="E266" s="25">
        <v>148.19999999999999</v>
      </c>
      <c r="F266" s="25">
        <v>190.3</v>
      </c>
      <c r="G266" s="25">
        <v>149.4</v>
      </c>
      <c r="H266" s="25">
        <v>153.30000000000001</v>
      </c>
      <c r="I266" s="25">
        <v>138.19999999999999</v>
      </c>
      <c r="J266" s="25">
        <v>143.19999999999999</v>
      </c>
      <c r="K266" s="25">
        <v>148.9</v>
      </c>
      <c r="L266" s="25">
        <v>150.30000000000001</v>
      </c>
      <c r="M266" s="25">
        <v>113.2</v>
      </c>
      <c r="N266" s="25">
        <v>159.80000000000001</v>
      </c>
      <c r="O266" s="25">
        <v>142.1</v>
      </c>
      <c r="P266" s="25">
        <v>161.80000000000001</v>
      </c>
      <c r="Q266" s="25">
        <v>152.30000000000001</v>
      </c>
      <c r="R266" s="25"/>
      <c r="S266" s="25">
        <v>182.4</v>
      </c>
      <c r="T266" s="25"/>
      <c r="U266" s="25">
        <v>154.69999999999999</v>
      </c>
      <c r="V266" s="25">
        <v>150</v>
      </c>
      <c r="W266" s="25">
        <v>154.1</v>
      </c>
      <c r="X266" s="25"/>
      <c r="Y266" s="25" t="s">
        <v>32</v>
      </c>
      <c r="Z266" s="25">
        <v>144.9</v>
      </c>
      <c r="AA266" s="25"/>
      <c r="AB266" s="25">
        <v>151.69999999999999</v>
      </c>
      <c r="AC266" s="25"/>
      <c r="AD266" s="25">
        <v>158.19999999999999</v>
      </c>
      <c r="AE266" s="25"/>
      <c r="AF266" s="25">
        <v>141.4</v>
      </c>
      <c r="AG266" s="25"/>
      <c r="AH266" s="25">
        <v>153.19999999999999</v>
      </c>
      <c r="AI266" s="25"/>
      <c r="AJ266" s="25">
        <v>161.80000000000001</v>
      </c>
      <c r="AK266" s="25"/>
      <c r="AL266" s="25">
        <v>151.19999999999999</v>
      </c>
      <c r="AM266" s="25"/>
      <c r="AN266" s="25">
        <v>151.69999999999999</v>
      </c>
      <c r="AO266" s="25"/>
      <c r="AP266" s="25">
        <v>152.69999999999999</v>
      </c>
    </row>
    <row r="267" spans="1:42" hidden="1" x14ac:dyDescent="0.3">
      <c r="A267" s="25" t="s">
        <v>33</v>
      </c>
      <c r="B267" s="25">
        <v>2020</v>
      </c>
      <c r="C267" s="25" t="s">
        <v>39</v>
      </c>
      <c r="D267" s="26">
        <f>DATE(B267,MATCH(TRIM(C267),{"January","February","March","April","May","June","July","August","September","October","November","December"},0),1)</f>
        <v>43983</v>
      </c>
      <c r="E267" s="25">
        <v>152.69999999999999</v>
      </c>
      <c r="F267" s="25">
        <v>197</v>
      </c>
      <c r="G267" s="25">
        <v>154.6</v>
      </c>
      <c r="H267" s="25">
        <v>153.4</v>
      </c>
      <c r="I267" s="25">
        <v>132.9</v>
      </c>
      <c r="J267" s="25">
        <v>151.80000000000001</v>
      </c>
      <c r="K267" s="25">
        <v>171.2</v>
      </c>
      <c r="L267" s="25">
        <v>152</v>
      </c>
      <c r="M267" s="25">
        <v>116.3</v>
      </c>
      <c r="N267" s="25">
        <v>158.80000000000001</v>
      </c>
      <c r="O267" s="25">
        <v>135.6</v>
      </c>
      <c r="P267" s="25">
        <v>161.69999999999999</v>
      </c>
      <c r="Q267" s="25">
        <v>157</v>
      </c>
      <c r="R267" s="25"/>
      <c r="S267" s="25">
        <v>186.7</v>
      </c>
      <c r="T267" s="25"/>
      <c r="U267" s="25">
        <v>149.1</v>
      </c>
      <c r="V267" s="25">
        <v>136.6</v>
      </c>
      <c r="W267" s="25">
        <v>147.19999999999999</v>
      </c>
      <c r="X267" s="25"/>
      <c r="Y267" s="25">
        <v>154.69999999999999</v>
      </c>
      <c r="Z267" s="25">
        <v>137.1</v>
      </c>
      <c r="AA267" s="25"/>
      <c r="AB267" s="25">
        <v>140.4</v>
      </c>
      <c r="AC267" s="25"/>
      <c r="AD267" s="25">
        <v>148.1</v>
      </c>
      <c r="AE267" s="25"/>
      <c r="AF267" s="25">
        <v>129.30000000000001</v>
      </c>
      <c r="AG267" s="25"/>
      <c r="AH267" s="25">
        <v>144.5</v>
      </c>
      <c r="AI267" s="25"/>
      <c r="AJ267" s="25">
        <v>152.5</v>
      </c>
      <c r="AK267" s="25"/>
      <c r="AL267" s="25">
        <v>152.19999999999999</v>
      </c>
      <c r="AM267" s="25"/>
      <c r="AN267" s="25">
        <v>142</v>
      </c>
      <c r="AO267" s="25"/>
      <c r="AP267" s="25">
        <v>150.80000000000001</v>
      </c>
    </row>
    <row r="268" spans="1:42" hidden="1" x14ac:dyDescent="0.3">
      <c r="A268" s="25" t="s">
        <v>34</v>
      </c>
      <c r="B268" s="25">
        <v>2020</v>
      </c>
      <c r="C268" s="25" t="s">
        <v>39</v>
      </c>
      <c r="D268" s="26">
        <f>DATE(B268,MATCH(TRIM(C268),{"January","February","March","April","May","June","July","August","September","October","November","December"},0),1)</f>
        <v>43983</v>
      </c>
      <c r="E268" s="25">
        <v>149.6</v>
      </c>
      <c r="F268" s="25">
        <v>192.7</v>
      </c>
      <c r="G268" s="25">
        <v>151.4</v>
      </c>
      <c r="H268" s="25">
        <v>153.30000000000001</v>
      </c>
      <c r="I268" s="25">
        <v>136.30000000000001</v>
      </c>
      <c r="J268" s="25">
        <v>147.19999999999999</v>
      </c>
      <c r="K268" s="25">
        <v>156.5</v>
      </c>
      <c r="L268" s="25">
        <v>150.9</v>
      </c>
      <c r="M268" s="25">
        <v>114.2</v>
      </c>
      <c r="N268" s="25">
        <v>159.5</v>
      </c>
      <c r="O268" s="25">
        <v>139.4</v>
      </c>
      <c r="P268" s="25">
        <v>161.80000000000001</v>
      </c>
      <c r="Q268" s="25">
        <v>154</v>
      </c>
      <c r="R268" s="25"/>
      <c r="S268" s="25">
        <v>183.5</v>
      </c>
      <c r="T268" s="25"/>
      <c r="U268" s="25">
        <v>152.5</v>
      </c>
      <c r="V268" s="25">
        <v>144.4</v>
      </c>
      <c r="W268" s="25">
        <v>151.4</v>
      </c>
      <c r="X268" s="25"/>
      <c r="Y268" s="25">
        <v>154.69999999999999</v>
      </c>
      <c r="Z268" s="25">
        <v>141.9</v>
      </c>
      <c r="AA268" s="25"/>
      <c r="AB268" s="25">
        <v>146.4</v>
      </c>
      <c r="AC268" s="25"/>
      <c r="AD268" s="25">
        <v>154.4</v>
      </c>
      <c r="AE268" s="25"/>
      <c r="AF268" s="25">
        <v>135</v>
      </c>
      <c r="AG268" s="25"/>
      <c r="AH268" s="25">
        <v>148.30000000000001</v>
      </c>
      <c r="AI268" s="25"/>
      <c r="AJ268" s="25">
        <v>156.4</v>
      </c>
      <c r="AK268" s="25"/>
      <c r="AL268" s="25">
        <v>151.6</v>
      </c>
      <c r="AM268" s="25"/>
      <c r="AN268" s="25">
        <v>147</v>
      </c>
      <c r="AO268" s="25"/>
      <c r="AP268" s="25">
        <v>151.80000000000001</v>
      </c>
    </row>
    <row r="269" spans="1:42" hidden="1" x14ac:dyDescent="0.3">
      <c r="A269" s="25" t="s">
        <v>30</v>
      </c>
      <c r="B269" s="25">
        <v>2020</v>
      </c>
      <c r="C269" s="25" t="s">
        <v>40</v>
      </c>
      <c r="D269" s="26">
        <f>DATE(B269,MATCH(TRIM(C269),{"January","February","March","April","May","June","July","August","September","October","November","December"},0),1)</f>
        <v>44013</v>
      </c>
      <c r="E269" s="25">
        <v>148.19999999999999</v>
      </c>
      <c r="F269" s="25">
        <v>190.3</v>
      </c>
      <c r="G269" s="25">
        <v>149.4</v>
      </c>
      <c r="H269" s="25">
        <v>153.30000000000001</v>
      </c>
      <c r="I269" s="25">
        <v>138.19999999999999</v>
      </c>
      <c r="J269" s="25">
        <v>143.19999999999999</v>
      </c>
      <c r="K269" s="25">
        <v>148.9</v>
      </c>
      <c r="L269" s="25">
        <v>150.30000000000001</v>
      </c>
      <c r="M269" s="25">
        <v>113.2</v>
      </c>
      <c r="N269" s="25">
        <v>159.80000000000001</v>
      </c>
      <c r="O269" s="25">
        <v>142.1</v>
      </c>
      <c r="P269" s="25">
        <v>161.80000000000001</v>
      </c>
      <c r="Q269" s="25">
        <v>152.30000000000001</v>
      </c>
      <c r="R269" s="25"/>
      <c r="S269" s="25">
        <v>182.4</v>
      </c>
      <c r="T269" s="25"/>
      <c r="U269" s="25">
        <v>154.69999999999999</v>
      </c>
      <c r="V269" s="25">
        <v>150</v>
      </c>
      <c r="W269" s="25">
        <v>154.1</v>
      </c>
      <c r="X269" s="25"/>
      <c r="Y269" s="25" t="s">
        <v>32</v>
      </c>
      <c r="Z269" s="25">
        <v>144.9</v>
      </c>
      <c r="AA269" s="25"/>
      <c r="AB269" s="25">
        <v>151.69999999999999</v>
      </c>
      <c r="AC269" s="25"/>
      <c r="AD269" s="25">
        <v>158.19999999999999</v>
      </c>
      <c r="AE269" s="25"/>
      <c r="AF269" s="25">
        <v>141.4</v>
      </c>
      <c r="AG269" s="25"/>
      <c r="AH269" s="25">
        <v>153.19999999999999</v>
      </c>
      <c r="AI269" s="25"/>
      <c r="AJ269" s="25">
        <v>161.80000000000001</v>
      </c>
      <c r="AK269" s="25"/>
      <c r="AL269" s="25">
        <v>151.19999999999999</v>
      </c>
      <c r="AM269" s="25"/>
      <c r="AN269" s="25">
        <v>151.69999999999999</v>
      </c>
      <c r="AO269" s="25"/>
      <c r="AP269" s="25">
        <v>152.69999999999999</v>
      </c>
    </row>
    <row r="270" spans="1:42" hidden="1" x14ac:dyDescent="0.3">
      <c r="A270" s="25" t="s">
        <v>33</v>
      </c>
      <c r="B270" s="25">
        <v>2020</v>
      </c>
      <c r="C270" s="25" t="s">
        <v>40</v>
      </c>
      <c r="D270" s="26">
        <f>DATE(B270,MATCH(TRIM(C270),{"January","February","March","April","May","June","July","August","September","October","November","December"},0),1)</f>
        <v>44013</v>
      </c>
      <c r="E270" s="25">
        <v>152.69999999999999</v>
      </c>
      <c r="F270" s="25">
        <v>197</v>
      </c>
      <c r="G270" s="25">
        <v>154.6</v>
      </c>
      <c r="H270" s="25">
        <v>153.4</v>
      </c>
      <c r="I270" s="25">
        <v>132.9</v>
      </c>
      <c r="J270" s="25">
        <v>151.80000000000001</v>
      </c>
      <c r="K270" s="25">
        <v>171.2</v>
      </c>
      <c r="L270" s="25">
        <v>152</v>
      </c>
      <c r="M270" s="25">
        <v>116.3</v>
      </c>
      <c r="N270" s="25">
        <v>158.80000000000001</v>
      </c>
      <c r="O270" s="25">
        <v>135.6</v>
      </c>
      <c r="P270" s="25">
        <v>161.69999999999999</v>
      </c>
      <c r="Q270" s="25">
        <v>157</v>
      </c>
      <c r="R270" s="25"/>
      <c r="S270" s="25">
        <v>186.7</v>
      </c>
      <c r="T270" s="25"/>
      <c r="U270" s="25">
        <v>149.1</v>
      </c>
      <c r="V270" s="25">
        <v>136.6</v>
      </c>
      <c r="W270" s="25">
        <v>147.19999999999999</v>
      </c>
      <c r="X270" s="25"/>
      <c r="Y270" s="25">
        <v>154.69999999999999</v>
      </c>
      <c r="Z270" s="25">
        <v>137.1</v>
      </c>
      <c r="AA270" s="25"/>
      <c r="AB270" s="25">
        <v>140.4</v>
      </c>
      <c r="AC270" s="25"/>
      <c r="AD270" s="25">
        <v>148.1</v>
      </c>
      <c r="AE270" s="25"/>
      <c r="AF270" s="25">
        <v>129.30000000000001</v>
      </c>
      <c r="AG270" s="25"/>
      <c r="AH270" s="25">
        <v>144.5</v>
      </c>
      <c r="AI270" s="25"/>
      <c r="AJ270" s="25">
        <v>152.5</v>
      </c>
      <c r="AK270" s="25"/>
      <c r="AL270" s="25">
        <v>152.19999999999999</v>
      </c>
      <c r="AM270" s="25"/>
      <c r="AN270" s="25">
        <v>142</v>
      </c>
      <c r="AO270" s="25"/>
      <c r="AP270" s="25">
        <v>150.80000000000001</v>
      </c>
    </row>
    <row r="271" spans="1:42" hidden="1" x14ac:dyDescent="0.3">
      <c r="A271" s="25" t="s">
        <v>34</v>
      </c>
      <c r="B271" s="25">
        <v>2020</v>
      </c>
      <c r="C271" s="25" t="s">
        <v>40</v>
      </c>
      <c r="D271" s="26">
        <f>DATE(B271,MATCH(TRIM(C271),{"January","February","March","April","May","June","July","August","September","October","November","December"},0),1)</f>
        <v>44013</v>
      </c>
      <c r="E271" s="25">
        <v>149.6</v>
      </c>
      <c r="F271" s="25">
        <v>192.7</v>
      </c>
      <c r="G271" s="25">
        <v>151.4</v>
      </c>
      <c r="H271" s="25">
        <v>153.30000000000001</v>
      </c>
      <c r="I271" s="25">
        <v>136.30000000000001</v>
      </c>
      <c r="J271" s="25">
        <v>147.19999999999999</v>
      </c>
      <c r="K271" s="25">
        <v>156.5</v>
      </c>
      <c r="L271" s="25">
        <v>150.9</v>
      </c>
      <c r="M271" s="25">
        <v>114.2</v>
      </c>
      <c r="N271" s="25">
        <v>159.5</v>
      </c>
      <c r="O271" s="25">
        <v>139.4</v>
      </c>
      <c r="P271" s="25">
        <v>161.80000000000001</v>
      </c>
      <c r="Q271" s="25">
        <v>154</v>
      </c>
      <c r="R271" s="25"/>
      <c r="S271" s="25">
        <v>183.5</v>
      </c>
      <c r="T271" s="25"/>
      <c r="U271" s="25">
        <v>152.5</v>
      </c>
      <c r="V271" s="25">
        <v>144.4</v>
      </c>
      <c r="W271" s="25">
        <v>151.4</v>
      </c>
      <c r="X271" s="25"/>
      <c r="Y271" s="25">
        <v>154.69999999999999</v>
      </c>
      <c r="Z271" s="25">
        <v>141.9</v>
      </c>
      <c r="AA271" s="25"/>
      <c r="AB271" s="25">
        <v>146.4</v>
      </c>
      <c r="AC271" s="25"/>
      <c r="AD271" s="25">
        <v>154.4</v>
      </c>
      <c r="AE271" s="25"/>
      <c r="AF271" s="25">
        <v>135</v>
      </c>
      <c r="AG271" s="25"/>
      <c r="AH271" s="25">
        <v>148.30000000000001</v>
      </c>
      <c r="AI271" s="25"/>
      <c r="AJ271" s="25">
        <v>156.4</v>
      </c>
      <c r="AK271" s="25"/>
      <c r="AL271" s="25">
        <v>151.6</v>
      </c>
      <c r="AM271" s="25"/>
      <c r="AN271" s="25">
        <v>147</v>
      </c>
      <c r="AO271" s="25"/>
      <c r="AP271" s="25">
        <v>151.80000000000001</v>
      </c>
    </row>
    <row r="272" spans="1:42" hidden="1" x14ac:dyDescent="0.3">
      <c r="A272" s="25" t="s">
        <v>30</v>
      </c>
      <c r="B272" s="25">
        <v>2020</v>
      </c>
      <c r="C272" s="25" t="s">
        <v>41</v>
      </c>
      <c r="D272" s="26">
        <f>DATE(B272,MATCH(TRIM(C272),{"January","February","March","April","May","June","July","August","September","October","November","December"},0),1)</f>
        <v>44044</v>
      </c>
      <c r="E272" s="25">
        <v>147.6</v>
      </c>
      <c r="F272" s="25">
        <v>187.2</v>
      </c>
      <c r="G272" s="25">
        <v>148.4</v>
      </c>
      <c r="H272" s="25">
        <v>153.30000000000001</v>
      </c>
      <c r="I272" s="25">
        <v>139.80000000000001</v>
      </c>
      <c r="J272" s="25">
        <v>146.9</v>
      </c>
      <c r="K272" s="25">
        <v>171</v>
      </c>
      <c r="L272" s="25">
        <v>149.9</v>
      </c>
      <c r="M272" s="25">
        <v>114.2</v>
      </c>
      <c r="N272" s="25">
        <v>160</v>
      </c>
      <c r="O272" s="25">
        <v>143.5</v>
      </c>
      <c r="P272" s="25">
        <v>161.5</v>
      </c>
      <c r="Q272" s="25">
        <v>155.30000000000001</v>
      </c>
      <c r="R272" s="25"/>
      <c r="S272" s="25">
        <v>180.9</v>
      </c>
      <c r="T272" s="25"/>
      <c r="U272" s="25">
        <v>155.1</v>
      </c>
      <c r="V272" s="25">
        <v>149.30000000000001</v>
      </c>
      <c r="W272" s="25">
        <v>154.30000000000001</v>
      </c>
      <c r="X272" s="25"/>
      <c r="Y272" s="25" t="s">
        <v>32</v>
      </c>
      <c r="Z272" s="25">
        <v>145.80000000000001</v>
      </c>
      <c r="AA272" s="25"/>
      <c r="AB272" s="25">
        <v>151.9</v>
      </c>
      <c r="AC272" s="25"/>
      <c r="AD272" s="25">
        <v>158.80000000000001</v>
      </c>
      <c r="AE272" s="25"/>
      <c r="AF272" s="25">
        <v>143.6</v>
      </c>
      <c r="AG272" s="25"/>
      <c r="AH272" s="25">
        <v>152.19999999999999</v>
      </c>
      <c r="AI272" s="25"/>
      <c r="AJ272" s="25">
        <v>162.69999999999999</v>
      </c>
      <c r="AK272" s="25"/>
      <c r="AL272" s="25">
        <v>153.6</v>
      </c>
      <c r="AM272" s="25"/>
      <c r="AN272" s="25">
        <v>153</v>
      </c>
      <c r="AO272" s="25"/>
      <c r="AP272" s="25">
        <v>154.69999999999999</v>
      </c>
    </row>
    <row r="273" spans="1:43" hidden="1" x14ac:dyDescent="0.3">
      <c r="A273" s="25" t="s">
        <v>33</v>
      </c>
      <c r="B273" s="25">
        <v>2020</v>
      </c>
      <c r="C273" s="25" t="s">
        <v>41</v>
      </c>
      <c r="D273" s="26">
        <f>DATE(B273,MATCH(TRIM(C273),{"January","February","March","April","May","June","July","August","September","October","November","December"},0),1)</f>
        <v>44044</v>
      </c>
      <c r="E273" s="25">
        <v>151.6</v>
      </c>
      <c r="F273" s="25">
        <v>197.8</v>
      </c>
      <c r="G273" s="25">
        <v>154.5</v>
      </c>
      <c r="H273" s="25">
        <v>153.4</v>
      </c>
      <c r="I273" s="25">
        <v>133.4</v>
      </c>
      <c r="J273" s="25">
        <v>154.5</v>
      </c>
      <c r="K273" s="25">
        <v>191.9</v>
      </c>
      <c r="L273" s="25">
        <v>151.30000000000001</v>
      </c>
      <c r="M273" s="25">
        <v>116.8</v>
      </c>
      <c r="N273" s="25">
        <v>160</v>
      </c>
      <c r="O273" s="25">
        <v>136.5</v>
      </c>
      <c r="P273" s="25">
        <v>163.30000000000001</v>
      </c>
      <c r="Q273" s="25">
        <v>159.9</v>
      </c>
      <c r="R273" s="25"/>
      <c r="S273" s="25">
        <v>187.2</v>
      </c>
      <c r="T273" s="25"/>
      <c r="U273" s="25">
        <v>150</v>
      </c>
      <c r="V273" s="25">
        <v>135.19999999999999</v>
      </c>
      <c r="W273" s="25">
        <v>147.80000000000001</v>
      </c>
      <c r="X273" s="25"/>
      <c r="Y273" s="25">
        <v>155.5</v>
      </c>
      <c r="Z273" s="25">
        <v>138.30000000000001</v>
      </c>
      <c r="AA273" s="25"/>
      <c r="AB273" s="25">
        <v>144.5</v>
      </c>
      <c r="AC273" s="25"/>
      <c r="AD273" s="25">
        <v>148.69999999999999</v>
      </c>
      <c r="AE273" s="25"/>
      <c r="AF273" s="25">
        <v>133.9</v>
      </c>
      <c r="AG273" s="25"/>
      <c r="AH273" s="25">
        <v>141.19999999999999</v>
      </c>
      <c r="AI273" s="25"/>
      <c r="AJ273" s="25">
        <v>155.5</v>
      </c>
      <c r="AK273" s="25"/>
      <c r="AL273" s="25">
        <v>155.19999999999999</v>
      </c>
      <c r="AM273" s="25"/>
      <c r="AN273" s="25">
        <v>144.80000000000001</v>
      </c>
      <c r="AO273" s="25"/>
      <c r="AP273" s="25">
        <v>152.9</v>
      </c>
    </row>
    <row r="274" spans="1:43" hidden="1" x14ac:dyDescent="0.3">
      <c r="A274" s="25" t="s">
        <v>34</v>
      </c>
      <c r="B274" s="25">
        <v>2020</v>
      </c>
      <c r="C274" s="25" t="s">
        <v>41</v>
      </c>
      <c r="D274" s="26">
        <f>DATE(B274,MATCH(TRIM(C274),{"January","February","March","April","May","June","July","August","September","October","November","December"},0),1)</f>
        <v>44044</v>
      </c>
      <c r="E274" s="25">
        <v>148.9</v>
      </c>
      <c r="F274" s="25">
        <v>190.9</v>
      </c>
      <c r="G274" s="25">
        <v>150.80000000000001</v>
      </c>
      <c r="H274" s="25">
        <v>153.30000000000001</v>
      </c>
      <c r="I274" s="25">
        <v>137.4</v>
      </c>
      <c r="J274" s="25">
        <v>150.4</v>
      </c>
      <c r="K274" s="25">
        <v>178.1</v>
      </c>
      <c r="L274" s="25">
        <v>150.4</v>
      </c>
      <c r="M274" s="25">
        <v>115.1</v>
      </c>
      <c r="N274" s="25">
        <v>160</v>
      </c>
      <c r="O274" s="25">
        <v>140.6</v>
      </c>
      <c r="P274" s="25">
        <v>162.30000000000001</v>
      </c>
      <c r="Q274" s="25">
        <v>157</v>
      </c>
      <c r="R274" s="25"/>
      <c r="S274" s="25">
        <v>182.6</v>
      </c>
      <c r="T274" s="25"/>
      <c r="U274" s="25">
        <v>153.1</v>
      </c>
      <c r="V274" s="25">
        <v>143.4</v>
      </c>
      <c r="W274" s="25">
        <v>151.69999999999999</v>
      </c>
      <c r="X274" s="25"/>
      <c r="Y274" s="25">
        <v>155.5</v>
      </c>
      <c r="Z274" s="25">
        <v>143</v>
      </c>
      <c r="AA274" s="25"/>
      <c r="AB274" s="25">
        <v>148.4</v>
      </c>
      <c r="AC274" s="25"/>
      <c r="AD274" s="25">
        <v>155</v>
      </c>
      <c r="AE274" s="25"/>
      <c r="AF274" s="25">
        <v>138.5</v>
      </c>
      <c r="AG274" s="25"/>
      <c r="AH274" s="25">
        <v>146</v>
      </c>
      <c r="AI274" s="25"/>
      <c r="AJ274" s="25">
        <v>158.5</v>
      </c>
      <c r="AK274" s="25"/>
      <c r="AL274" s="25">
        <v>154.30000000000001</v>
      </c>
      <c r="AM274" s="25"/>
      <c r="AN274" s="25">
        <v>149</v>
      </c>
      <c r="AO274" s="25"/>
      <c r="AP274" s="25">
        <v>153.9</v>
      </c>
    </row>
    <row r="275" spans="1:43" hidden="1" x14ac:dyDescent="0.3">
      <c r="A275" s="25" t="s">
        <v>30</v>
      </c>
      <c r="B275" s="25">
        <v>2020</v>
      </c>
      <c r="C275" s="25" t="s">
        <v>42</v>
      </c>
      <c r="D275" s="26">
        <f>DATE(B275,MATCH(TRIM(C275),{"January","February","March","April","May","June","July","August","September","October","November","December"},0),1)</f>
        <v>44075</v>
      </c>
      <c r="E275" s="25">
        <v>146.9</v>
      </c>
      <c r="F275" s="25">
        <v>183.9</v>
      </c>
      <c r="G275" s="25">
        <v>149.5</v>
      </c>
      <c r="H275" s="25">
        <v>153.4</v>
      </c>
      <c r="I275" s="25">
        <v>140.4</v>
      </c>
      <c r="J275" s="25">
        <v>147</v>
      </c>
      <c r="K275" s="25">
        <v>178.8</v>
      </c>
      <c r="L275" s="25">
        <v>149.30000000000001</v>
      </c>
      <c r="M275" s="25">
        <v>115.1</v>
      </c>
      <c r="N275" s="25">
        <v>160</v>
      </c>
      <c r="O275" s="25">
        <v>145.4</v>
      </c>
      <c r="P275" s="25">
        <v>161.6</v>
      </c>
      <c r="Q275" s="25">
        <v>156.1</v>
      </c>
      <c r="R275" s="25"/>
      <c r="S275" s="25">
        <v>182.9</v>
      </c>
      <c r="T275" s="25"/>
      <c r="U275" s="25">
        <v>155.4</v>
      </c>
      <c r="V275" s="25">
        <v>149.9</v>
      </c>
      <c r="W275" s="25">
        <v>154.6</v>
      </c>
      <c r="X275" s="25"/>
      <c r="Y275" s="25" t="s">
        <v>32</v>
      </c>
      <c r="Z275" s="25">
        <v>146.4</v>
      </c>
      <c r="AA275" s="25"/>
      <c r="AB275" s="25">
        <v>151.6</v>
      </c>
      <c r="AC275" s="25"/>
      <c r="AD275" s="25">
        <v>159.1</v>
      </c>
      <c r="AE275" s="25"/>
      <c r="AF275" s="25">
        <v>144.6</v>
      </c>
      <c r="AG275" s="25"/>
      <c r="AH275" s="25">
        <v>152.80000000000001</v>
      </c>
      <c r="AI275" s="25"/>
      <c r="AJ275" s="25">
        <v>161.1</v>
      </c>
      <c r="AK275" s="25"/>
      <c r="AL275" s="25">
        <v>157.4</v>
      </c>
      <c r="AM275" s="25"/>
      <c r="AN275" s="25">
        <v>153.69999999999999</v>
      </c>
      <c r="AO275" s="25"/>
      <c r="AP275" s="25">
        <v>155.4</v>
      </c>
    </row>
    <row r="276" spans="1:43" hidden="1" x14ac:dyDescent="0.3">
      <c r="A276" s="25" t="s">
        <v>33</v>
      </c>
      <c r="B276" s="25">
        <v>2020</v>
      </c>
      <c r="C276" s="25" t="s">
        <v>42</v>
      </c>
      <c r="D276" s="26">
        <f>DATE(B276,MATCH(TRIM(C276),{"January","February","March","April","May","June","July","August","September","October","November","December"},0),1)</f>
        <v>44075</v>
      </c>
      <c r="E276" s="25">
        <v>151.5</v>
      </c>
      <c r="F276" s="25">
        <v>193.1</v>
      </c>
      <c r="G276" s="25">
        <v>157.30000000000001</v>
      </c>
      <c r="H276" s="25">
        <v>153.9</v>
      </c>
      <c r="I276" s="25">
        <v>134.4</v>
      </c>
      <c r="J276" s="25">
        <v>155.4</v>
      </c>
      <c r="K276" s="25">
        <v>202</v>
      </c>
      <c r="L276" s="25">
        <v>150.80000000000001</v>
      </c>
      <c r="M276" s="25">
        <v>118.9</v>
      </c>
      <c r="N276" s="25">
        <v>160.9</v>
      </c>
      <c r="O276" s="25">
        <v>137.69999999999999</v>
      </c>
      <c r="P276" s="25">
        <v>164.4</v>
      </c>
      <c r="Q276" s="25">
        <v>161.30000000000001</v>
      </c>
      <c r="R276" s="25"/>
      <c r="S276" s="25">
        <v>188.7</v>
      </c>
      <c r="T276" s="25"/>
      <c r="U276" s="25">
        <v>150.19999999999999</v>
      </c>
      <c r="V276" s="25">
        <v>136.30000000000001</v>
      </c>
      <c r="W276" s="25">
        <v>148.1</v>
      </c>
      <c r="X276" s="25"/>
      <c r="Y276" s="25">
        <v>156.30000000000001</v>
      </c>
      <c r="Z276" s="25">
        <v>137.19999999999999</v>
      </c>
      <c r="AA276" s="25"/>
      <c r="AB276" s="25">
        <v>145.4</v>
      </c>
      <c r="AC276" s="25"/>
      <c r="AD276" s="25">
        <v>150</v>
      </c>
      <c r="AE276" s="25"/>
      <c r="AF276" s="25">
        <v>135.1</v>
      </c>
      <c r="AG276" s="25"/>
      <c r="AH276" s="25">
        <v>141.80000000000001</v>
      </c>
      <c r="AI276" s="25"/>
      <c r="AJ276" s="25">
        <v>154.9</v>
      </c>
      <c r="AK276" s="25"/>
      <c r="AL276" s="25">
        <v>159.80000000000001</v>
      </c>
      <c r="AM276" s="25"/>
      <c r="AN276" s="25">
        <v>146</v>
      </c>
      <c r="AO276" s="25"/>
      <c r="AP276" s="25">
        <v>154</v>
      </c>
    </row>
    <row r="277" spans="1:43" hidden="1" x14ac:dyDescent="0.3">
      <c r="A277" s="25" t="s">
        <v>34</v>
      </c>
      <c r="B277" s="25">
        <v>2020</v>
      </c>
      <c r="C277" s="25" t="s">
        <v>42</v>
      </c>
      <c r="D277" s="26">
        <f>DATE(B277,MATCH(TRIM(C277),{"January","February","March","April","May","June","July","August","September","October","November","December"},0),1)</f>
        <v>44075</v>
      </c>
      <c r="E277" s="25">
        <v>148.4</v>
      </c>
      <c r="F277" s="25">
        <v>187.1</v>
      </c>
      <c r="G277" s="25">
        <v>152.5</v>
      </c>
      <c r="H277" s="25">
        <v>153.6</v>
      </c>
      <c r="I277" s="25">
        <v>138.19999999999999</v>
      </c>
      <c r="J277" s="25">
        <v>150.9</v>
      </c>
      <c r="K277" s="25">
        <v>186.7</v>
      </c>
      <c r="L277" s="25">
        <v>149.80000000000001</v>
      </c>
      <c r="M277" s="25">
        <v>116.4</v>
      </c>
      <c r="N277" s="25">
        <v>160.30000000000001</v>
      </c>
      <c r="O277" s="25">
        <v>142.19999999999999</v>
      </c>
      <c r="P277" s="25">
        <v>162.9</v>
      </c>
      <c r="Q277" s="25">
        <v>158</v>
      </c>
      <c r="R277" s="25"/>
      <c r="S277" s="25">
        <v>184.4</v>
      </c>
      <c r="T277" s="25"/>
      <c r="U277" s="25">
        <v>153.4</v>
      </c>
      <c r="V277" s="25">
        <v>144.30000000000001</v>
      </c>
      <c r="W277" s="25">
        <v>152</v>
      </c>
      <c r="X277" s="25"/>
      <c r="Y277" s="25">
        <v>156.30000000000001</v>
      </c>
      <c r="Z277" s="25">
        <v>142.9</v>
      </c>
      <c r="AA277" s="25"/>
      <c r="AB277" s="25">
        <v>148.69999999999999</v>
      </c>
      <c r="AC277" s="25"/>
      <c r="AD277" s="25">
        <v>155.6</v>
      </c>
      <c r="AE277" s="25"/>
      <c r="AF277" s="25">
        <v>139.6</v>
      </c>
      <c r="AG277" s="25"/>
      <c r="AH277" s="25">
        <v>146.6</v>
      </c>
      <c r="AI277" s="25"/>
      <c r="AJ277" s="25">
        <v>157.5</v>
      </c>
      <c r="AK277" s="25"/>
      <c r="AL277" s="25">
        <v>158.4</v>
      </c>
      <c r="AM277" s="25"/>
      <c r="AN277" s="25">
        <v>150</v>
      </c>
      <c r="AO277" s="25"/>
      <c r="AP277" s="25">
        <v>154.69999999999999</v>
      </c>
    </row>
    <row r="278" spans="1:43" hidden="1" x14ac:dyDescent="0.3">
      <c r="A278" s="25" t="s">
        <v>30</v>
      </c>
      <c r="B278" s="25">
        <v>2020</v>
      </c>
      <c r="C278" s="25" t="s">
        <v>43</v>
      </c>
      <c r="D278" s="26">
        <f>DATE(B278,MATCH(TRIM(C278),{"January","February","March","April","May","June","July","August","September","October","November","December"},0),1)</f>
        <v>44105</v>
      </c>
      <c r="E278" s="25">
        <v>146</v>
      </c>
      <c r="F278" s="25">
        <v>186.3</v>
      </c>
      <c r="G278" s="25">
        <v>159.19999999999999</v>
      </c>
      <c r="H278" s="25">
        <v>153.6</v>
      </c>
      <c r="I278" s="25">
        <v>142.6</v>
      </c>
      <c r="J278" s="25">
        <v>147.19999999999999</v>
      </c>
      <c r="K278" s="25">
        <v>200.6</v>
      </c>
      <c r="L278" s="25">
        <v>150.30000000000001</v>
      </c>
      <c r="M278" s="25">
        <v>115.3</v>
      </c>
      <c r="N278" s="25">
        <v>160.9</v>
      </c>
      <c r="O278" s="25">
        <v>147.4</v>
      </c>
      <c r="P278" s="25">
        <v>161.9</v>
      </c>
      <c r="Q278" s="25">
        <v>159.6</v>
      </c>
      <c r="R278" s="25"/>
      <c r="S278" s="25">
        <v>182.7</v>
      </c>
      <c r="T278" s="25"/>
      <c r="U278" s="25">
        <v>155.69999999999999</v>
      </c>
      <c r="V278" s="25">
        <v>150.6</v>
      </c>
      <c r="W278" s="25">
        <v>155</v>
      </c>
      <c r="X278" s="25"/>
      <c r="Y278" s="25" t="s">
        <v>32</v>
      </c>
      <c r="Z278" s="25">
        <v>146.80000000000001</v>
      </c>
      <c r="AA278" s="25"/>
      <c r="AB278" s="25">
        <v>152</v>
      </c>
      <c r="AC278" s="25"/>
      <c r="AD278" s="25">
        <v>159.5</v>
      </c>
      <c r="AE278" s="25"/>
      <c r="AF278" s="25">
        <v>146.4</v>
      </c>
      <c r="AG278" s="25"/>
      <c r="AH278" s="25">
        <v>152.4</v>
      </c>
      <c r="AI278" s="25"/>
      <c r="AJ278" s="25">
        <v>162.5</v>
      </c>
      <c r="AK278" s="25"/>
      <c r="AL278" s="25">
        <v>156.19999999999999</v>
      </c>
      <c r="AM278" s="25"/>
      <c r="AN278" s="25">
        <v>154.30000000000001</v>
      </c>
      <c r="AO278" s="25"/>
      <c r="AP278" s="25">
        <v>157.5</v>
      </c>
    </row>
    <row r="279" spans="1:43" hidden="1" x14ac:dyDescent="0.3">
      <c r="A279" s="25" t="s">
        <v>33</v>
      </c>
      <c r="B279" s="25">
        <v>2020</v>
      </c>
      <c r="C279" s="25" t="s">
        <v>43</v>
      </c>
      <c r="D279" s="26">
        <f>DATE(B279,MATCH(TRIM(C279),{"January","February","March","April","May","June","July","August","September","October","November","December"},0),1)</f>
        <v>44105</v>
      </c>
      <c r="E279" s="25">
        <v>150.6</v>
      </c>
      <c r="F279" s="25">
        <v>193.7</v>
      </c>
      <c r="G279" s="25">
        <v>164.8</v>
      </c>
      <c r="H279" s="25">
        <v>153.69999999999999</v>
      </c>
      <c r="I279" s="25">
        <v>135.69999999999999</v>
      </c>
      <c r="J279" s="25">
        <v>155.69999999999999</v>
      </c>
      <c r="K279" s="25">
        <v>226</v>
      </c>
      <c r="L279" s="25">
        <v>152.19999999999999</v>
      </c>
      <c r="M279" s="25">
        <v>118.1</v>
      </c>
      <c r="N279" s="25">
        <v>161.30000000000001</v>
      </c>
      <c r="O279" s="25">
        <v>139.19999999999999</v>
      </c>
      <c r="P279" s="25">
        <v>164.8</v>
      </c>
      <c r="Q279" s="25">
        <v>164.4</v>
      </c>
      <c r="R279" s="25"/>
      <c r="S279" s="25">
        <v>188.7</v>
      </c>
      <c r="T279" s="25"/>
      <c r="U279" s="25">
        <v>150.5</v>
      </c>
      <c r="V279" s="25">
        <v>136.1</v>
      </c>
      <c r="W279" s="25">
        <v>148.30000000000001</v>
      </c>
      <c r="X279" s="25"/>
      <c r="Y279" s="25">
        <v>156.5</v>
      </c>
      <c r="Z279" s="25">
        <v>137.1</v>
      </c>
      <c r="AA279" s="25"/>
      <c r="AB279" s="25">
        <v>145.1</v>
      </c>
      <c r="AC279" s="25"/>
      <c r="AD279" s="25">
        <v>151</v>
      </c>
      <c r="AE279" s="25"/>
      <c r="AF279" s="25">
        <v>135.4</v>
      </c>
      <c r="AG279" s="25"/>
      <c r="AH279" s="25">
        <v>142</v>
      </c>
      <c r="AI279" s="25"/>
      <c r="AJ279" s="25">
        <v>155.69999999999999</v>
      </c>
      <c r="AK279" s="25"/>
      <c r="AL279" s="25">
        <v>158.1</v>
      </c>
      <c r="AM279" s="25"/>
      <c r="AN279" s="25">
        <v>146.19999999999999</v>
      </c>
      <c r="AO279" s="25"/>
      <c r="AP279" s="25">
        <v>155.19999999999999</v>
      </c>
    </row>
    <row r="280" spans="1:43" hidden="1" x14ac:dyDescent="0.3">
      <c r="A280" s="25" t="s">
        <v>34</v>
      </c>
      <c r="B280" s="25">
        <v>2020</v>
      </c>
      <c r="C280" s="25" t="s">
        <v>43</v>
      </c>
      <c r="D280" s="26">
        <f>DATE(B280,MATCH(TRIM(C280),{"January","February","March","April","May","June","July","August","September","October","November","December"},0),1)</f>
        <v>44105</v>
      </c>
      <c r="E280" s="25">
        <v>147.5</v>
      </c>
      <c r="F280" s="25">
        <v>188.9</v>
      </c>
      <c r="G280" s="25">
        <v>161.4</v>
      </c>
      <c r="H280" s="25">
        <v>153.6</v>
      </c>
      <c r="I280" s="25">
        <v>140.1</v>
      </c>
      <c r="J280" s="25">
        <v>151.19999999999999</v>
      </c>
      <c r="K280" s="25">
        <v>209.2</v>
      </c>
      <c r="L280" s="25">
        <v>150.9</v>
      </c>
      <c r="M280" s="25">
        <v>116.2</v>
      </c>
      <c r="N280" s="25">
        <v>161</v>
      </c>
      <c r="O280" s="25">
        <v>144</v>
      </c>
      <c r="P280" s="25">
        <v>163.19999999999999</v>
      </c>
      <c r="Q280" s="25">
        <v>161.4</v>
      </c>
      <c r="R280" s="25"/>
      <c r="S280" s="25">
        <v>184.3</v>
      </c>
      <c r="T280" s="25"/>
      <c r="U280" s="25">
        <v>153.69999999999999</v>
      </c>
      <c r="V280" s="25">
        <v>144.6</v>
      </c>
      <c r="W280" s="25">
        <v>152.30000000000001</v>
      </c>
      <c r="X280" s="25"/>
      <c r="Y280" s="25">
        <v>156.5</v>
      </c>
      <c r="Z280" s="25">
        <v>143.1</v>
      </c>
      <c r="AA280" s="25"/>
      <c r="AB280" s="25">
        <v>148.69999999999999</v>
      </c>
      <c r="AC280" s="25"/>
      <c r="AD280" s="25">
        <v>156.30000000000001</v>
      </c>
      <c r="AE280" s="25"/>
      <c r="AF280" s="25">
        <v>140.6</v>
      </c>
      <c r="AG280" s="25"/>
      <c r="AH280" s="25">
        <v>146.5</v>
      </c>
      <c r="AI280" s="25"/>
      <c r="AJ280" s="25">
        <v>158.5</v>
      </c>
      <c r="AK280" s="25"/>
      <c r="AL280" s="25">
        <v>157</v>
      </c>
      <c r="AM280" s="25"/>
      <c r="AN280" s="25">
        <v>150.4</v>
      </c>
      <c r="AO280" s="25"/>
      <c r="AP280" s="25">
        <v>156.4</v>
      </c>
    </row>
    <row r="281" spans="1:43" hidden="1" x14ac:dyDescent="0.3">
      <c r="A281" s="25" t="s">
        <v>30</v>
      </c>
      <c r="B281" s="25">
        <v>2020</v>
      </c>
      <c r="C281" s="25" t="s">
        <v>45</v>
      </c>
      <c r="D281" s="26">
        <f>DATE(B281,MATCH(TRIM(C281),{"January","February","March","April","May","June","July","August","September","October","November","December"},0),1)</f>
        <v>44136</v>
      </c>
      <c r="E281" s="25">
        <v>145.4</v>
      </c>
      <c r="F281" s="25">
        <v>188.6</v>
      </c>
      <c r="G281" s="25">
        <v>171.6</v>
      </c>
      <c r="H281" s="25">
        <v>153.80000000000001</v>
      </c>
      <c r="I281" s="25">
        <v>145.4</v>
      </c>
      <c r="J281" s="25">
        <v>146.5</v>
      </c>
      <c r="K281" s="25">
        <v>222.2</v>
      </c>
      <c r="L281" s="25">
        <v>155.9</v>
      </c>
      <c r="M281" s="25">
        <v>114.9</v>
      </c>
      <c r="N281" s="25">
        <v>162</v>
      </c>
      <c r="O281" s="25">
        <v>150</v>
      </c>
      <c r="P281" s="25">
        <v>162.69999999999999</v>
      </c>
      <c r="Q281" s="25">
        <v>163.4</v>
      </c>
      <c r="R281" s="25"/>
      <c r="S281" s="25">
        <v>183.4</v>
      </c>
      <c r="T281" s="25"/>
      <c r="U281" s="25">
        <v>156.30000000000001</v>
      </c>
      <c r="V281" s="25">
        <v>151</v>
      </c>
      <c r="W281" s="25">
        <v>155.5</v>
      </c>
      <c r="X281" s="25"/>
      <c r="Y281" s="25" t="s">
        <v>32</v>
      </c>
      <c r="Z281" s="25">
        <v>147.5</v>
      </c>
      <c r="AA281" s="25"/>
      <c r="AB281" s="25">
        <v>152.80000000000001</v>
      </c>
      <c r="AC281" s="25"/>
      <c r="AD281" s="25">
        <v>160.4</v>
      </c>
      <c r="AE281" s="25"/>
      <c r="AF281" s="25">
        <v>146.1</v>
      </c>
      <c r="AG281" s="25"/>
      <c r="AH281" s="25">
        <v>153.6</v>
      </c>
      <c r="AI281" s="25"/>
      <c r="AJ281" s="25">
        <v>161.6</v>
      </c>
      <c r="AK281" s="25"/>
      <c r="AL281" s="25">
        <v>156.19999999999999</v>
      </c>
      <c r="AM281" s="25"/>
      <c r="AN281" s="25">
        <v>154.5</v>
      </c>
      <c r="AO281" s="25"/>
      <c r="AP281" s="25">
        <v>159.80000000000001</v>
      </c>
    </row>
    <row r="282" spans="1:43" hidden="1" x14ac:dyDescent="0.3">
      <c r="A282" s="25" t="s">
        <v>33</v>
      </c>
      <c r="B282" s="25">
        <v>2020</v>
      </c>
      <c r="C282" s="25" t="s">
        <v>45</v>
      </c>
      <c r="D282" s="26">
        <f>DATE(B282,MATCH(TRIM(C282),{"January","February","March","April","May","June","July","August","September","October","November","December"},0),1)</f>
        <v>44136</v>
      </c>
      <c r="E282" s="25">
        <v>149.69999999999999</v>
      </c>
      <c r="F282" s="25">
        <v>195.5</v>
      </c>
      <c r="G282" s="25">
        <v>176.9</v>
      </c>
      <c r="H282" s="25">
        <v>153.9</v>
      </c>
      <c r="I282" s="25">
        <v>138</v>
      </c>
      <c r="J282" s="25">
        <v>150.5</v>
      </c>
      <c r="K282" s="25">
        <v>245.3</v>
      </c>
      <c r="L282" s="25">
        <v>158.69999999999999</v>
      </c>
      <c r="M282" s="25">
        <v>117.2</v>
      </c>
      <c r="N282" s="25">
        <v>161.4</v>
      </c>
      <c r="O282" s="25">
        <v>141.5</v>
      </c>
      <c r="P282" s="25">
        <v>165.1</v>
      </c>
      <c r="Q282" s="25">
        <v>167</v>
      </c>
      <c r="R282" s="25"/>
      <c r="S282" s="25">
        <v>188.8</v>
      </c>
      <c r="T282" s="25"/>
      <c r="U282" s="25">
        <v>151.1</v>
      </c>
      <c r="V282" s="25">
        <v>136.4</v>
      </c>
      <c r="W282" s="25">
        <v>148.80000000000001</v>
      </c>
      <c r="X282" s="25"/>
      <c r="Y282" s="25">
        <v>158</v>
      </c>
      <c r="Z282" s="25">
        <v>137.30000000000001</v>
      </c>
      <c r="AA282" s="25"/>
      <c r="AB282" s="25">
        <v>145.1</v>
      </c>
      <c r="AC282" s="25"/>
      <c r="AD282" s="25">
        <v>152</v>
      </c>
      <c r="AE282" s="25"/>
      <c r="AF282" s="25">
        <v>135.19999999999999</v>
      </c>
      <c r="AG282" s="25"/>
      <c r="AH282" s="25">
        <v>144.4</v>
      </c>
      <c r="AI282" s="25"/>
      <c r="AJ282" s="25">
        <v>156.4</v>
      </c>
      <c r="AK282" s="25"/>
      <c r="AL282" s="25">
        <v>157.9</v>
      </c>
      <c r="AM282" s="25"/>
      <c r="AN282" s="25">
        <v>146.6</v>
      </c>
      <c r="AO282" s="25"/>
      <c r="AP282" s="25">
        <v>156.69999999999999</v>
      </c>
    </row>
    <row r="283" spans="1:43" hidden="1" x14ac:dyDescent="0.3">
      <c r="A283" s="25" t="s">
        <v>34</v>
      </c>
      <c r="B283" s="25">
        <v>2020</v>
      </c>
      <c r="C283" s="25" t="s">
        <v>45</v>
      </c>
      <c r="D283" s="26">
        <f>DATE(B283,MATCH(TRIM(C283),{"January","February","March","April","May","June","July","August","September","October","November","December"},0),1)</f>
        <v>44136</v>
      </c>
      <c r="E283" s="25">
        <v>146.80000000000001</v>
      </c>
      <c r="F283" s="25">
        <v>191</v>
      </c>
      <c r="G283" s="25">
        <v>173.6</v>
      </c>
      <c r="H283" s="25">
        <v>153.80000000000001</v>
      </c>
      <c r="I283" s="25">
        <v>142.69999999999999</v>
      </c>
      <c r="J283" s="25">
        <v>148.4</v>
      </c>
      <c r="K283" s="25">
        <v>230</v>
      </c>
      <c r="L283" s="25">
        <v>156.80000000000001</v>
      </c>
      <c r="M283" s="25">
        <v>115.7</v>
      </c>
      <c r="N283" s="25">
        <v>161.80000000000001</v>
      </c>
      <c r="O283" s="25">
        <v>146.5</v>
      </c>
      <c r="P283" s="25">
        <v>163.80000000000001</v>
      </c>
      <c r="Q283" s="25">
        <v>164.7</v>
      </c>
      <c r="R283" s="25"/>
      <c r="S283" s="25">
        <v>184.8</v>
      </c>
      <c r="T283" s="25"/>
      <c r="U283" s="25">
        <v>154.30000000000001</v>
      </c>
      <c r="V283" s="25">
        <v>144.9</v>
      </c>
      <c r="W283" s="25">
        <v>152.80000000000001</v>
      </c>
      <c r="X283" s="25"/>
      <c r="Y283" s="25">
        <v>158</v>
      </c>
      <c r="Z283" s="25">
        <v>143.6</v>
      </c>
      <c r="AA283" s="25"/>
      <c r="AB283" s="25">
        <v>149.19999999999999</v>
      </c>
      <c r="AC283" s="25"/>
      <c r="AD283" s="25">
        <v>157.19999999999999</v>
      </c>
      <c r="AE283" s="25"/>
      <c r="AF283" s="25">
        <v>140.4</v>
      </c>
      <c r="AG283" s="25"/>
      <c r="AH283" s="25">
        <v>148.4</v>
      </c>
      <c r="AI283" s="25"/>
      <c r="AJ283" s="25">
        <v>158.6</v>
      </c>
      <c r="AK283" s="25"/>
      <c r="AL283" s="25">
        <v>156.9</v>
      </c>
      <c r="AM283" s="25"/>
      <c r="AN283" s="25">
        <v>150.69999999999999</v>
      </c>
      <c r="AO283" s="25"/>
      <c r="AP283" s="25">
        <v>158.4</v>
      </c>
    </row>
    <row r="284" spans="1:43" hidden="1" x14ac:dyDescent="0.3">
      <c r="A284" s="25" t="s">
        <v>30</v>
      </c>
      <c r="B284" s="25">
        <v>2020</v>
      </c>
      <c r="C284" s="25" t="s">
        <v>46</v>
      </c>
      <c r="D284" s="26">
        <f>DATE(B284,MATCH(TRIM(C284),{"January","February","March","April","May","June","July","August","September","October","November","December"},0),1)</f>
        <v>44166</v>
      </c>
      <c r="E284" s="25">
        <v>144.6</v>
      </c>
      <c r="F284" s="25">
        <v>188.5</v>
      </c>
      <c r="G284" s="25">
        <v>173.4</v>
      </c>
      <c r="H284" s="25">
        <v>154</v>
      </c>
      <c r="I284" s="25">
        <v>150</v>
      </c>
      <c r="J284" s="25">
        <v>145.9</v>
      </c>
      <c r="K284" s="25">
        <v>225.2</v>
      </c>
      <c r="L284" s="25">
        <v>159.5</v>
      </c>
      <c r="M284" s="25">
        <v>114.4</v>
      </c>
      <c r="N284" s="25">
        <v>163.5</v>
      </c>
      <c r="O284" s="25">
        <v>153.4</v>
      </c>
      <c r="P284" s="25">
        <v>163.6</v>
      </c>
      <c r="Q284" s="25">
        <v>164.5</v>
      </c>
      <c r="R284" s="25"/>
      <c r="S284" s="25">
        <v>183.6</v>
      </c>
      <c r="T284" s="25"/>
      <c r="U284" s="25">
        <v>157</v>
      </c>
      <c r="V284" s="25">
        <v>151.6</v>
      </c>
      <c r="W284" s="25">
        <v>156.30000000000001</v>
      </c>
      <c r="X284" s="25"/>
      <c r="Y284" s="25" t="s">
        <v>32</v>
      </c>
      <c r="Z284" s="25">
        <v>148.69999999999999</v>
      </c>
      <c r="AA284" s="25"/>
      <c r="AB284" s="25">
        <v>153.4</v>
      </c>
      <c r="AC284" s="25"/>
      <c r="AD284" s="25">
        <v>161.6</v>
      </c>
      <c r="AE284" s="25"/>
      <c r="AF284" s="25">
        <v>146.4</v>
      </c>
      <c r="AG284" s="25"/>
      <c r="AH284" s="25">
        <v>153.9</v>
      </c>
      <c r="AI284" s="25"/>
      <c r="AJ284" s="25">
        <v>162.9</v>
      </c>
      <c r="AK284" s="25"/>
      <c r="AL284" s="25">
        <v>156.6</v>
      </c>
      <c r="AM284" s="25"/>
      <c r="AN284" s="25">
        <v>155.19999999999999</v>
      </c>
      <c r="AO284" s="25"/>
      <c r="AP284" s="25">
        <v>160.69999999999999</v>
      </c>
    </row>
    <row r="285" spans="1:43" hidden="1" x14ac:dyDescent="0.3">
      <c r="A285" s="25" t="s">
        <v>33</v>
      </c>
      <c r="B285" s="25">
        <v>2020</v>
      </c>
      <c r="C285" s="25" t="s">
        <v>46</v>
      </c>
      <c r="D285" s="26">
        <f>DATE(B285,MATCH(TRIM(C285),{"January","February","March","April","May","June","July","August","September","October","November","December"},0),1)</f>
        <v>44166</v>
      </c>
      <c r="E285" s="25">
        <v>149</v>
      </c>
      <c r="F285" s="25">
        <v>195.7</v>
      </c>
      <c r="G285" s="25">
        <v>178.3</v>
      </c>
      <c r="H285" s="25">
        <v>154.19999999999999</v>
      </c>
      <c r="I285" s="25">
        <v>140.69999999999999</v>
      </c>
      <c r="J285" s="25">
        <v>149.69999999999999</v>
      </c>
      <c r="K285" s="25">
        <v>240.9</v>
      </c>
      <c r="L285" s="25">
        <v>161.5</v>
      </c>
      <c r="M285" s="25">
        <v>117.1</v>
      </c>
      <c r="N285" s="25">
        <v>161.9</v>
      </c>
      <c r="O285" s="25">
        <v>143.30000000000001</v>
      </c>
      <c r="P285" s="25">
        <v>166.1</v>
      </c>
      <c r="Q285" s="25">
        <v>167</v>
      </c>
      <c r="R285" s="25"/>
      <c r="S285" s="25">
        <v>190.2</v>
      </c>
      <c r="T285" s="25"/>
      <c r="U285" s="25">
        <v>151.9</v>
      </c>
      <c r="V285" s="25">
        <v>136.69999999999999</v>
      </c>
      <c r="W285" s="25">
        <v>149.6</v>
      </c>
      <c r="X285" s="25"/>
      <c r="Y285" s="25">
        <v>158.4</v>
      </c>
      <c r="Z285" s="25">
        <v>137.9</v>
      </c>
      <c r="AA285" s="25"/>
      <c r="AB285" s="25">
        <v>145.5</v>
      </c>
      <c r="AC285" s="25"/>
      <c r="AD285" s="25">
        <v>152.9</v>
      </c>
      <c r="AE285" s="25"/>
      <c r="AF285" s="25">
        <v>135.5</v>
      </c>
      <c r="AG285" s="25"/>
      <c r="AH285" s="25">
        <v>144.30000000000001</v>
      </c>
      <c r="AI285" s="25"/>
      <c r="AJ285" s="25">
        <v>156.9</v>
      </c>
      <c r="AK285" s="25"/>
      <c r="AL285" s="25">
        <v>157.9</v>
      </c>
      <c r="AM285" s="25"/>
      <c r="AN285" s="25">
        <v>146.9</v>
      </c>
      <c r="AO285" s="25"/>
      <c r="AP285" s="25">
        <v>156.9</v>
      </c>
    </row>
    <row r="286" spans="1:43" hidden="1" x14ac:dyDescent="0.3">
      <c r="A286" s="25" t="s">
        <v>34</v>
      </c>
      <c r="B286" s="25">
        <v>2020</v>
      </c>
      <c r="C286" s="25" t="s">
        <v>46</v>
      </c>
      <c r="D286" s="26">
        <f>DATE(B286,MATCH(TRIM(C286),{"January","February","March","April","May","June","July","August","September","October","November","December"},0),1)</f>
        <v>44166</v>
      </c>
      <c r="E286" s="25">
        <v>146</v>
      </c>
      <c r="F286" s="25">
        <v>191</v>
      </c>
      <c r="G286" s="25">
        <v>175.3</v>
      </c>
      <c r="H286" s="25">
        <v>154.1</v>
      </c>
      <c r="I286" s="25">
        <v>146.6</v>
      </c>
      <c r="J286" s="25">
        <v>147.69999999999999</v>
      </c>
      <c r="K286" s="25">
        <v>230.5</v>
      </c>
      <c r="L286" s="25">
        <v>160.19999999999999</v>
      </c>
      <c r="M286" s="25">
        <v>115.3</v>
      </c>
      <c r="N286" s="25">
        <v>163</v>
      </c>
      <c r="O286" s="25">
        <v>149.19999999999999</v>
      </c>
      <c r="P286" s="25">
        <v>164.8</v>
      </c>
      <c r="Q286" s="25">
        <v>165.4</v>
      </c>
      <c r="R286" s="25"/>
      <c r="S286" s="25">
        <v>185.4</v>
      </c>
      <c r="T286" s="25"/>
      <c r="U286" s="25">
        <v>155</v>
      </c>
      <c r="V286" s="25">
        <v>145.4</v>
      </c>
      <c r="W286" s="25">
        <v>153.6</v>
      </c>
      <c r="X286" s="25"/>
      <c r="Y286" s="25">
        <v>158.4</v>
      </c>
      <c r="Z286" s="25">
        <v>144.6</v>
      </c>
      <c r="AA286" s="25"/>
      <c r="AB286" s="25">
        <v>149.69999999999999</v>
      </c>
      <c r="AC286" s="25"/>
      <c r="AD286" s="25">
        <v>158.30000000000001</v>
      </c>
      <c r="AE286" s="25"/>
      <c r="AF286" s="25">
        <v>140.69999999999999</v>
      </c>
      <c r="AG286" s="25"/>
      <c r="AH286" s="25">
        <v>148.5</v>
      </c>
      <c r="AI286" s="25"/>
      <c r="AJ286" s="25">
        <v>159.4</v>
      </c>
      <c r="AK286" s="25"/>
      <c r="AL286" s="25">
        <v>157.1</v>
      </c>
      <c r="AM286" s="25"/>
      <c r="AN286" s="25">
        <v>151.19999999999999</v>
      </c>
      <c r="AO286" s="25"/>
      <c r="AP286" s="25">
        <v>158.9</v>
      </c>
    </row>
    <row r="287" spans="1:43" hidden="1" x14ac:dyDescent="0.3">
      <c r="A287" s="25" t="s">
        <v>30</v>
      </c>
      <c r="B287" s="25">
        <v>2021</v>
      </c>
      <c r="C287" s="25" t="s">
        <v>31</v>
      </c>
      <c r="D287" s="26">
        <f>DATE(B287,MATCH(TRIM(C287),{"January","February","March","April","May","June","July","August","September","October","November","December"},0),1)</f>
        <v>44197</v>
      </c>
      <c r="E287" s="25">
        <v>143.4</v>
      </c>
      <c r="F287" s="25">
        <v>187.5</v>
      </c>
      <c r="G287" s="25">
        <v>173.4</v>
      </c>
      <c r="H287" s="25">
        <v>154</v>
      </c>
      <c r="I287" s="25">
        <v>154.80000000000001</v>
      </c>
      <c r="J287" s="25">
        <v>147</v>
      </c>
      <c r="K287" s="25">
        <v>187.8</v>
      </c>
      <c r="L287" s="25">
        <v>159.5</v>
      </c>
      <c r="M287" s="25">
        <v>113.8</v>
      </c>
      <c r="N287" s="25">
        <v>164.5</v>
      </c>
      <c r="O287" s="25">
        <v>156.1</v>
      </c>
      <c r="P287" s="25">
        <v>164.3</v>
      </c>
      <c r="Q287" s="25">
        <v>159.6</v>
      </c>
      <c r="R287" s="25"/>
      <c r="S287" s="25">
        <v>184.6</v>
      </c>
      <c r="T287" s="25"/>
      <c r="U287" s="25">
        <v>157.5</v>
      </c>
      <c r="V287" s="25">
        <v>152.4</v>
      </c>
      <c r="W287" s="25">
        <v>156.80000000000001</v>
      </c>
      <c r="X287" s="25"/>
      <c r="Y287" s="25" t="s">
        <v>32</v>
      </c>
      <c r="Z287" s="25">
        <v>150.9</v>
      </c>
      <c r="AA287" s="25"/>
      <c r="AB287" s="25">
        <v>153.9</v>
      </c>
      <c r="AC287" s="25"/>
      <c r="AD287" s="25">
        <v>162.5</v>
      </c>
      <c r="AE287" s="25"/>
      <c r="AF287" s="25">
        <v>147.5</v>
      </c>
      <c r="AG287" s="25"/>
      <c r="AH287" s="25">
        <v>155.1</v>
      </c>
      <c r="AI287" s="25"/>
      <c r="AJ287" s="25">
        <v>163.5</v>
      </c>
      <c r="AK287" s="25"/>
      <c r="AL287" s="25">
        <v>156.19999999999999</v>
      </c>
      <c r="AM287" s="25"/>
      <c r="AN287" s="25">
        <v>155.9</v>
      </c>
      <c r="AO287" s="25"/>
      <c r="AP287" s="25">
        <v>158.5</v>
      </c>
    </row>
    <row r="288" spans="1:43" hidden="1" x14ac:dyDescent="0.3">
      <c r="A288" s="25" t="s">
        <v>33</v>
      </c>
      <c r="B288" s="25">
        <v>2021</v>
      </c>
      <c r="C288" s="25" t="s">
        <v>31</v>
      </c>
      <c r="D288" s="26">
        <f>DATE(B288,MATCH(TRIM(C288),{"January","February","March","April","May","June","July","August","September","October","November","December"},0),1)</f>
        <v>44197</v>
      </c>
      <c r="E288" s="25">
        <v>148</v>
      </c>
      <c r="F288" s="25">
        <v>194.8</v>
      </c>
      <c r="G288" s="25">
        <v>178.4</v>
      </c>
      <c r="H288" s="25">
        <v>154.4</v>
      </c>
      <c r="I288" s="25">
        <v>144.1</v>
      </c>
      <c r="J288" s="25">
        <v>152.6</v>
      </c>
      <c r="K288" s="25">
        <v>206.8</v>
      </c>
      <c r="L288" s="25">
        <v>162.1</v>
      </c>
      <c r="M288" s="25">
        <v>116.3</v>
      </c>
      <c r="N288" s="25">
        <v>163</v>
      </c>
      <c r="O288" s="25">
        <v>145.9</v>
      </c>
      <c r="P288" s="25">
        <v>167.2</v>
      </c>
      <c r="Q288" s="25">
        <v>163.4</v>
      </c>
      <c r="R288" s="52">
        <f>(Q288-Q287)/Q287</f>
        <v>2.3809523809523881E-2</v>
      </c>
      <c r="S288" s="25">
        <v>191.8</v>
      </c>
      <c r="T288" s="52">
        <f>(S288-S287)/S287</f>
        <v>3.9003250270856001E-2</v>
      </c>
      <c r="U288" s="25">
        <v>152.5</v>
      </c>
      <c r="V288" s="25">
        <v>137.30000000000001</v>
      </c>
      <c r="W288" s="25">
        <v>150.19999999999999</v>
      </c>
      <c r="X288" s="52">
        <f>(W288-W287)/W287</f>
        <v>-4.2091836734694021E-2</v>
      </c>
      <c r="Y288" s="25">
        <v>157.69999999999999</v>
      </c>
      <c r="Z288" s="25">
        <v>142.9</v>
      </c>
      <c r="AA288" s="52">
        <f>(Z288-Z287)/Z287</f>
        <v>-5.3015241882041084E-2</v>
      </c>
      <c r="AB288" s="25">
        <v>145.69999999999999</v>
      </c>
      <c r="AC288" s="52">
        <f>(AB288-AB287)/AB287</f>
        <v>-5.328135152696567E-2</v>
      </c>
      <c r="AD288" s="25">
        <v>154.1</v>
      </c>
      <c r="AE288" s="52">
        <f>(AD288-AD287)/AD287</f>
        <v>-5.1692307692307725E-2</v>
      </c>
      <c r="AF288" s="25">
        <v>136.9</v>
      </c>
      <c r="AG288" s="52">
        <f>(AF288-AF287)/AF287</f>
        <v>-7.186440677966098E-2</v>
      </c>
      <c r="AH288" s="25">
        <v>145.4</v>
      </c>
      <c r="AI288" s="52">
        <f>(AH288-AH287)/AH287</f>
        <v>-6.2540296582849708E-2</v>
      </c>
      <c r="AJ288" s="25">
        <v>156.1</v>
      </c>
      <c r="AK288" s="52">
        <f>(AJ288-AJ287)/AJ287</f>
        <v>-4.5259938837920524E-2</v>
      </c>
      <c r="AL288" s="25">
        <v>157.69999999999999</v>
      </c>
      <c r="AM288" s="52">
        <f>(AL288-AL287)/AL287</f>
        <v>9.6030729833546744E-3</v>
      </c>
      <c r="AN288" s="25">
        <v>147.6</v>
      </c>
      <c r="AO288" s="52">
        <f>(AN288-AN287)/AN287</f>
        <v>-5.3239255933290638E-2</v>
      </c>
      <c r="AP288" s="25">
        <v>156</v>
      </c>
      <c r="AQ288" s="51">
        <f>(AP288-AP287)/AP287</f>
        <v>-1.5772870662460567E-2</v>
      </c>
    </row>
    <row r="289" spans="1:43" x14ac:dyDescent="0.3">
      <c r="A289" s="25" t="s">
        <v>34</v>
      </c>
      <c r="B289" s="25">
        <v>2021</v>
      </c>
      <c r="C289" s="25" t="s">
        <v>31</v>
      </c>
      <c r="D289" s="26">
        <f>DATE(B289,MATCH(TRIM(C289),{"January","February","March","April","May","June","July","August","September","October","November","December"},0),1)</f>
        <v>44197</v>
      </c>
      <c r="E289" s="25">
        <v>144.9</v>
      </c>
      <c r="F289" s="25">
        <v>190.1</v>
      </c>
      <c r="G289" s="25">
        <v>175.3</v>
      </c>
      <c r="H289" s="25">
        <v>154.1</v>
      </c>
      <c r="I289" s="25">
        <v>150.9</v>
      </c>
      <c r="J289" s="25">
        <v>149.6</v>
      </c>
      <c r="K289" s="25">
        <v>194.2</v>
      </c>
      <c r="L289" s="25">
        <v>160.4</v>
      </c>
      <c r="M289" s="25">
        <v>114.6</v>
      </c>
      <c r="N289" s="25">
        <v>164</v>
      </c>
      <c r="O289" s="25">
        <v>151.80000000000001</v>
      </c>
      <c r="P289" s="25">
        <v>165.6</v>
      </c>
      <c r="Q289" s="25">
        <v>161</v>
      </c>
      <c r="R289" s="52">
        <f t="shared" ref="R289:R352" si="0">(Q289-Q288)/Q288</f>
        <v>-1.468788249694006E-2</v>
      </c>
      <c r="S289" s="25">
        <v>186.5</v>
      </c>
      <c r="T289" s="52">
        <f t="shared" ref="T289:T352" si="1">(S289-S288)/S288</f>
        <v>-2.7632950990615281E-2</v>
      </c>
      <c r="U289" s="25">
        <v>155.5</v>
      </c>
      <c r="V289" s="25">
        <v>146.1</v>
      </c>
      <c r="W289" s="25">
        <v>154.19999999999999</v>
      </c>
      <c r="X289" s="52">
        <f t="shared" ref="X289:X352" si="2">(W289-W288)/W288</f>
        <v>2.6631158455392812E-2</v>
      </c>
      <c r="Y289" s="25">
        <v>157.69999999999999</v>
      </c>
      <c r="Z289" s="25">
        <v>147.9</v>
      </c>
      <c r="AA289" s="52">
        <f>(Z289-Z288)/Z288</f>
        <v>3.498950314905528E-2</v>
      </c>
      <c r="AB289" s="25">
        <v>150</v>
      </c>
      <c r="AC289" s="52">
        <f t="shared" ref="AC289:AC352" si="3">(AB289-AB288)/AB288</f>
        <v>2.9512697323267067E-2</v>
      </c>
      <c r="AD289" s="25">
        <v>159.30000000000001</v>
      </c>
      <c r="AE289" s="52">
        <f t="shared" ref="AE289:AE352" si="4">(AD289-AD288)/AD288</f>
        <v>3.3744321868916398E-2</v>
      </c>
      <c r="AF289" s="25">
        <v>141.9</v>
      </c>
      <c r="AG289" s="52">
        <f t="shared" ref="AG289:AG352" si="5">(AF289-AF288)/AF288</f>
        <v>3.6523009495982466E-2</v>
      </c>
      <c r="AH289" s="25">
        <v>149.6</v>
      </c>
      <c r="AI289" s="52">
        <f t="shared" ref="AI289:AI352" si="6">(AH289-AH288)/AH288</f>
        <v>2.8885832187070071E-2</v>
      </c>
      <c r="AJ289" s="25">
        <v>159.19999999999999</v>
      </c>
      <c r="AK289" s="52">
        <f t="shared" ref="AK289:AK352" si="7">(AJ289-AJ288)/AJ288</f>
        <v>1.9859064702113995E-2</v>
      </c>
      <c r="AL289" s="25">
        <v>156.80000000000001</v>
      </c>
      <c r="AM289" s="52">
        <f t="shared" ref="AM289:AM352" si="8">(AL289-AL288)/AL288</f>
        <v>-5.7070386810398055E-3</v>
      </c>
      <c r="AN289" s="25">
        <v>151.9</v>
      </c>
      <c r="AO289" s="52">
        <f t="shared" ref="AO289:AO352" si="9">(AN289-AN288)/AN288</f>
        <v>2.9132791327913358E-2</v>
      </c>
      <c r="AP289" s="25">
        <v>157.30000000000001</v>
      </c>
      <c r="AQ289" s="51">
        <f t="shared" ref="AQ289:AQ352" si="10">(AP289-AP288)/AP288</f>
        <v>8.3333333333334061E-3</v>
      </c>
    </row>
    <row r="290" spans="1:43" hidden="1" x14ac:dyDescent="0.3">
      <c r="A290" s="25" t="s">
        <v>30</v>
      </c>
      <c r="B290" s="25">
        <v>2021</v>
      </c>
      <c r="C290" s="25" t="s">
        <v>35</v>
      </c>
      <c r="D290" s="26">
        <f>DATE(B290,MATCH(TRIM(C290),{"January","February","March","April","May","June","July","August","September","October","November","December"},0),1)</f>
        <v>44228</v>
      </c>
      <c r="E290" s="25">
        <v>142.80000000000001</v>
      </c>
      <c r="F290" s="25">
        <v>184</v>
      </c>
      <c r="G290" s="25">
        <v>168</v>
      </c>
      <c r="H290" s="25">
        <v>154.4</v>
      </c>
      <c r="I290" s="25">
        <v>163</v>
      </c>
      <c r="J290" s="25">
        <v>147.80000000000001</v>
      </c>
      <c r="K290" s="25">
        <v>149.69999999999999</v>
      </c>
      <c r="L290" s="25">
        <v>158.30000000000001</v>
      </c>
      <c r="M290" s="25">
        <v>111.8</v>
      </c>
      <c r="N290" s="25">
        <v>165</v>
      </c>
      <c r="O290" s="25">
        <v>160</v>
      </c>
      <c r="P290" s="25">
        <v>165.8</v>
      </c>
      <c r="Q290" s="25">
        <v>154.69999999999999</v>
      </c>
      <c r="R290" s="52">
        <f t="shared" si="0"/>
        <v>-3.9130434782608768E-2</v>
      </c>
      <c r="S290" s="25">
        <v>186.5</v>
      </c>
      <c r="T290" s="52">
        <f t="shared" si="1"/>
        <v>0</v>
      </c>
      <c r="U290" s="25">
        <v>159.1</v>
      </c>
      <c r="V290" s="25">
        <v>153.9</v>
      </c>
      <c r="W290" s="25">
        <v>158.4</v>
      </c>
      <c r="X290" s="52">
        <f t="shared" si="2"/>
        <v>2.7237354085603224E-2</v>
      </c>
      <c r="Y290" s="25" t="s">
        <v>32</v>
      </c>
      <c r="Z290" s="25">
        <v>154.4</v>
      </c>
      <c r="AA290" s="52">
        <f t="shared" ref="AA289:AA352" si="11">(Z290-Z289)/Z289</f>
        <v>4.3948613928329952E-2</v>
      </c>
      <c r="AB290" s="25">
        <v>154.80000000000001</v>
      </c>
      <c r="AC290" s="52">
        <f t="shared" si="3"/>
        <v>3.2000000000000077E-2</v>
      </c>
      <c r="AD290" s="25">
        <v>164.3</v>
      </c>
      <c r="AE290" s="52">
        <f t="shared" si="4"/>
        <v>3.1387319522912738E-2</v>
      </c>
      <c r="AF290" s="25">
        <v>150.19999999999999</v>
      </c>
      <c r="AG290" s="52">
        <f t="shared" si="5"/>
        <v>5.8491895701197907E-2</v>
      </c>
      <c r="AH290" s="25">
        <v>157</v>
      </c>
      <c r="AI290" s="52">
        <f t="shared" si="6"/>
        <v>4.9465240641711268E-2</v>
      </c>
      <c r="AJ290" s="25">
        <v>163.6</v>
      </c>
      <c r="AK290" s="52">
        <f t="shared" si="7"/>
        <v>2.7638190954773906E-2</v>
      </c>
      <c r="AL290" s="25">
        <v>155.19999999999999</v>
      </c>
      <c r="AM290" s="52">
        <f t="shared" si="8"/>
        <v>-1.0204081632653206E-2</v>
      </c>
      <c r="AN290" s="25">
        <v>157.19999999999999</v>
      </c>
      <c r="AO290" s="52">
        <f t="shared" si="9"/>
        <v>3.4891375905200674E-2</v>
      </c>
      <c r="AP290" s="25">
        <v>156.69999999999999</v>
      </c>
      <c r="AQ290" s="51">
        <f t="shared" si="10"/>
        <v>-3.8143674507312313E-3</v>
      </c>
    </row>
    <row r="291" spans="1:43" hidden="1" x14ac:dyDescent="0.3">
      <c r="A291" s="25" t="s">
        <v>33</v>
      </c>
      <c r="B291" s="25">
        <v>2021</v>
      </c>
      <c r="C291" s="25" t="s">
        <v>35</v>
      </c>
      <c r="D291" s="26">
        <f>DATE(B291,MATCH(TRIM(C291),{"January","February","March","April","May","June","July","August","September","October","November","December"},0),1)</f>
        <v>44228</v>
      </c>
      <c r="E291" s="25">
        <v>147.6</v>
      </c>
      <c r="F291" s="25">
        <v>191.2</v>
      </c>
      <c r="G291" s="25">
        <v>169.9</v>
      </c>
      <c r="H291" s="25">
        <v>155.1</v>
      </c>
      <c r="I291" s="25">
        <v>151.4</v>
      </c>
      <c r="J291" s="25">
        <v>154</v>
      </c>
      <c r="K291" s="25">
        <v>180.2</v>
      </c>
      <c r="L291" s="25">
        <v>159.80000000000001</v>
      </c>
      <c r="M291" s="25">
        <v>114.9</v>
      </c>
      <c r="N291" s="25">
        <v>162.5</v>
      </c>
      <c r="O291" s="25">
        <v>149.19999999999999</v>
      </c>
      <c r="P291" s="25">
        <v>169.4</v>
      </c>
      <c r="Q291" s="25">
        <v>160.80000000000001</v>
      </c>
      <c r="R291" s="52">
        <f t="shared" si="0"/>
        <v>3.9431157078216053E-2</v>
      </c>
      <c r="S291" s="25">
        <v>193.3</v>
      </c>
      <c r="T291" s="52">
        <f t="shared" si="1"/>
        <v>3.6461126005361992E-2</v>
      </c>
      <c r="U291" s="25">
        <v>154.19999999999999</v>
      </c>
      <c r="V291" s="25">
        <v>138.19999999999999</v>
      </c>
      <c r="W291" s="25">
        <v>151.80000000000001</v>
      </c>
      <c r="X291" s="52">
        <f t="shared" si="2"/>
        <v>-4.166666666666663E-2</v>
      </c>
      <c r="Y291" s="25">
        <v>159.80000000000001</v>
      </c>
      <c r="Z291" s="25">
        <v>149.1</v>
      </c>
      <c r="AA291" s="52">
        <f t="shared" si="11"/>
        <v>-3.4326424870466395E-2</v>
      </c>
      <c r="AB291" s="25">
        <v>146.5</v>
      </c>
      <c r="AC291" s="52">
        <f t="shared" si="3"/>
        <v>-5.3617571059431594E-2</v>
      </c>
      <c r="AD291" s="25">
        <v>156.30000000000001</v>
      </c>
      <c r="AE291" s="52">
        <f t="shared" si="4"/>
        <v>-4.8691418137553254E-2</v>
      </c>
      <c r="AF291" s="25">
        <v>140.5</v>
      </c>
      <c r="AG291" s="52">
        <f t="shared" si="5"/>
        <v>-6.4580559254327499E-2</v>
      </c>
      <c r="AH291" s="25">
        <v>147.30000000000001</v>
      </c>
      <c r="AI291" s="52">
        <f t="shared" si="6"/>
        <v>-6.1783439490445791E-2</v>
      </c>
      <c r="AJ291" s="25">
        <v>156.6</v>
      </c>
      <c r="AK291" s="52">
        <f t="shared" si="7"/>
        <v>-4.2787286063569685E-2</v>
      </c>
      <c r="AL291" s="25">
        <v>156.69999999999999</v>
      </c>
      <c r="AM291" s="52">
        <f t="shared" si="8"/>
        <v>9.6649484536082478E-3</v>
      </c>
      <c r="AN291" s="25">
        <v>149.30000000000001</v>
      </c>
      <c r="AO291" s="52">
        <f t="shared" si="9"/>
        <v>-5.0254452926208511E-2</v>
      </c>
      <c r="AP291" s="25">
        <v>156.5</v>
      </c>
      <c r="AQ291" s="51">
        <f t="shared" si="10"/>
        <v>-1.2763241863432587E-3</v>
      </c>
    </row>
    <row r="292" spans="1:43" x14ac:dyDescent="0.3">
      <c r="A292" s="25" t="s">
        <v>34</v>
      </c>
      <c r="B292" s="25">
        <v>2021</v>
      </c>
      <c r="C292" s="25" t="s">
        <v>35</v>
      </c>
      <c r="D292" s="26">
        <f>DATE(B292,MATCH(TRIM(C292),{"January","February","March","April","May","June","July","August","September","October","November","December"},0),1)</f>
        <v>44228</v>
      </c>
      <c r="E292" s="25">
        <v>144.30000000000001</v>
      </c>
      <c r="F292" s="25">
        <v>186.5</v>
      </c>
      <c r="G292" s="25">
        <v>168.7</v>
      </c>
      <c r="H292" s="25">
        <v>154.69999999999999</v>
      </c>
      <c r="I292" s="25">
        <v>158.69999999999999</v>
      </c>
      <c r="J292" s="25">
        <v>150.69999999999999</v>
      </c>
      <c r="K292" s="25">
        <v>160</v>
      </c>
      <c r="L292" s="25">
        <v>158.80000000000001</v>
      </c>
      <c r="M292" s="25">
        <v>112.8</v>
      </c>
      <c r="N292" s="25">
        <v>164.2</v>
      </c>
      <c r="O292" s="25">
        <v>155.5</v>
      </c>
      <c r="P292" s="25">
        <v>167.5</v>
      </c>
      <c r="Q292" s="25">
        <v>156.9</v>
      </c>
      <c r="R292" s="52">
        <f t="shared" si="0"/>
        <v>-2.4253731343283617E-2</v>
      </c>
      <c r="S292" s="25">
        <v>188.3</v>
      </c>
      <c r="T292" s="52">
        <f t="shared" si="1"/>
        <v>-2.5866528711846869E-2</v>
      </c>
      <c r="U292" s="25">
        <v>157.19999999999999</v>
      </c>
      <c r="V292" s="25">
        <v>147.4</v>
      </c>
      <c r="W292" s="25">
        <v>155.80000000000001</v>
      </c>
      <c r="X292" s="52">
        <f t="shared" si="2"/>
        <v>2.6350461133069828E-2</v>
      </c>
      <c r="Y292" s="25">
        <v>159.80000000000001</v>
      </c>
      <c r="Z292" s="25">
        <v>152.4</v>
      </c>
      <c r="AA292" s="52">
        <f t="shared" si="11"/>
        <v>2.213279678068418E-2</v>
      </c>
      <c r="AB292" s="25">
        <v>150.9</v>
      </c>
      <c r="AC292" s="52">
        <f t="shared" si="3"/>
        <v>3.0034129692832805E-2</v>
      </c>
      <c r="AD292" s="25">
        <v>161.30000000000001</v>
      </c>
      <c r="AE292" s="52">
        <f t="shared" si="4"/>
        <v>3.1989763275751759E-2</v>
      </c>
      <c r="AF292" s="25">
        <v>145.1</v>
      </c>
      <c r="AG292" s="52">
        <f t="shared" si="5"/>
        <v>3.2740213523131632E-2</v>
      </c>
      <c r="AH292" s="25">
        <v>151.5</v>
      </c>
      <c r="AI292" s="52">
        <f t="shared" si="6"/>
        <v>2.8513238289205625E-2</v>
      </c>
      <c r="AJ292" s="25">
        <v>159.5</v>
      </c>
      <c r="AK292" s="52">
        <f t="shared" si="7"/>
        <v>1.8518518518518556E-2</v>
      </c>
      <c r="AL292" s="25">
        <v>155.80000000000001</v>
      </c>
      <c r="AM292" s="52">
        <f t="shared" si="8"/>
        <v>-5.7434588385448454E-3</v>
      </c>
      <c r="AN292" s="25">
        <v>153.4</v>
      </c>
      <c r="AO292" s="52">
        <f t="shared" si="9"/>
        <v>2.7461486939048856E-2</v>
      </c>
      <c r="AP292" s="25">
        <v>156.6</v>
      </c>
      <c r="AQ292" s="51">
        <f t="shared" si="10"/>
        <v>6.389776357827113E-4</v>
      </c>
    </row>
    <row r="293" spans="1:43" hidden="1" x14ac:dyDescent="0.3">
      <c r="A293" s="25" t="s">
        <v>30</v>
      </c>
      <c r="B293" s="25">
        <v>2021</v>
      </c>
      <c r="C293" s="25" t="s">
        <v>36</v>
      </c>
      <c r="D293" s="26">
        <f>DATE(B293,MATCH(TRIM(C293),{"January","February","March","April","May","June","July","August","September","October","November","December"},0),1)</f>
        <v>44256</v>
      </c>
      <c r="E293" s="25">
        <v>142.5</v>
      </c>
      <c r="F293" s="25">
        <v>189.4</v>
      </c>
      <c r="G293" s="25">
        <v>163.19999999999999</v>
      </c>
      <c r="H293" s="25">
        <v>154.5</v>
      </c>
      <c r="I293" s="25">
        <v>168.2</v>
      </c>
      <c r="J293" s="25">
        <v>150.5</v>
      </c>
      <c r="K293" s="25">
        <v>141</v>
      </c>
      <c r="L293" s="25">
        <v>159.19999999999999</v>
      </c>
      <c r="M293" s="25">
        <v>111.7</v>
      </c>
      <c r="N293" s="25">
        <v>164</v>
      </c>
      <c r="O293" s="25">
        <v>160.6</v>
      </c>
      <c r="P293" s="25">
        <v>166.4</v>
      </c>
      <c r="Q293" s="25">
        <v>154.5</v>
      </c>
      <c r="R293" s="52">
        <f t="shared" si="0"/>
        <v>-1.5296367112810743E-2</v>
      </c>
      <c r="S293" s="25">
        <v>186.1</v>
      </c>
      <c r="T293" s="52">
        <f t="shared" si="1"/>
        <v>-1.1683483802443001E-2</v>
      </c>
      <c r="U293" s="25">
        <v>159.6</v>
      </c>
      <c r="V293" s="25">
        <v>154.4</v>
      </c>
      <c r="W293" s="25">
        <v>158.9</v>
      </c>
      <c r="X293" s="52">
        <f t="shared" si="2"/>
        <v>1.989730423620022E-2</v>
      </c>
      <c r="Y293" s="25">
        <v>139.25</v>
      </c>
      <c r="Z293" s="25">
        <v>156</v>
      </c>
      <c r="AA293" s="52">
        <f t="shared" si="11"/>
        <v>2.362204724409445E-2</v>
      </c>
      <c r="AB293" s="25">
        <v>154.80000000000001</v>
      </c>
      <c r="AC293" s="52">
        <f t="shared" si="3"/>
        <v>2.5844930417495065E-2</v>
      </c>
      <c r="AD293" s="25">
        <v>164.6</v>
      </c>
      <c r="AE293" s="52">
        <f t="shared" si="4"/>
        <v>2.0458772473651472E-2</v>
      </c>
      <c r="AF293" s="25">
        <v>151.30000000000001</v>
      </c>
      <c r="AG293" s="52">
        <f t="shared" si="5"/>
        <v>4.2729152308752703E-2</v>
      </c>
      <c r="AH293" s="25">
        <v>157.80000000000001</v>
      </c>
      <c r="AI293" s="52">
        <f t="shared" si="6"/>
        <v>4.1584158415841656E-2</v>
      </c>
      <c r="AJ293" s="25">
        <v>163.80000000000001</v>
      </c>
      <c r="AK293" s="52">
        <f t="shared" si="7"/>
        <v>2.6959247648902892E-2</v>
      </c>
      <c r="AL293" s="25">
        <v>153.1</v>
      </c>
      <c r="AM293" s="52">
        <f t="shared" si="8"/>
        <v>-1.7329910141206783E-2</v>
      </c>
      <c r="AN293" s="25">
        <v>157.30000000000001</v>
      </c>
      <c r="AO293" s="52">
        <f t="shared" si="9"/>
        <v>2.5423728813559358E-2</v>
      </c>
      <c r="AP293" s="25">
        <v>156.69999999999999</v>
      </c>
      <c r="AQ293" s="51">
        <f t="shared" si="10"/>
        <v>6.3856960408680918E-4</v>
      </c>
    </row>
    <row r="294" spans="1:43" hidden="1" x14ac:dyDescent="0.3">
      <c r="A294" s="25" t="s">
        <v>33</v>
      </c>
      <c r="B294" s="25">
        <v>2021</v>
      </c>
      <c r="C294" s="25" t="s">
        <v>36</v>
      </c>
      <c r="D294" s="26">
        <f>DATE(B294,MATCH(TRIM(C294),{"January","February","March","April","May","June","July","August","September","October","November","December"},0),1)</f>
        <v>44256</v>
      </c>
      <c r="E294" s="25">
        <v>147.5</v>
      </c>
      <c r="F294" s="25">
        <v>197.5</v>
      </c>
      <c r="G294" s="25">
        <v>164.7</v>
      </c>
      <c r="H294" s="25">
        <v>155.6</v>
      </c>
      <c r="I294" s="25">
        <v>156.4</v>
      </c>
      <c r="J294" s="25">
        <v>157.30000000000001</v>
      </c>
      <c r="K294" s="25">
        <v>166.1</v>
      </c>
      <c r="L294" s="25">
        <v>161.1</v>
      </c>
      <c r="M294" s="25">
        <v>114.3</v>
      </c>
      <c r="N294" s="25">
        <v>162.6</v>
      </c>
      <c r="O294" s="25">
        <v>150.69999999999999</v>
      </c>
      <c r="P294" s="25">
        <v>170.3</v>
      </c>
      <c r="Q294" s="25">
        <v>160.4</v>
      </c>
      <c r="R294" s="52">
        <f t="shared" si="0"/>
        <v>3.8187702265372207E-2</v>
      </c>
      <c r="S294" s="25">
        <v>193.5</v>
      </c>
      <c r="T294" s="52">
        <f t="shared" si="1"/>
        <v>3.976356797420745E-2</v>
      </c>
      <c r="U294" s="25">
        <v>155.1</v>
      </c>
      <c r="V294" s="25">
        <v>138.69999999999999</v>
      </c>
      <c r="W294" s="25">
        <v>152.6</v>
      </c>
      <c r="X294" s="52">
        <f t="shared" si="2"/>
        <v>-3.9647577092511085E-2</v>
      </c>
      <c r="Y294" s="25">
        <v>159.9</v>
      </c>
      <c r="Z294" s="25">
        <v>154.80000000000001</v>
      </c>
      <c r="AA294" s="52">
        <f t="shared" si="11"/>
        <v>-7.692307692307619E-3</v>
      </c>
      <c r="AB294" s="25">
        <v>147.19999999999999</v>
      </c>
      <c r="AC294" s="52">
        <f t="shared" si="3"/>
        <v>-4.9095607235142259E-2</v>
      </c>
      <c r="AD294" s="25">
        <v>156.9</v>
      </c>
      <c r="AE294" s="52">
        <f t="shared" si="4"/>
        <v>-4.6780072904009651E-2</v>
      </c>
      <c r="AF294" s="25">
        <v>141.69999999999999</v>
      </c>
      <c r="AG294" s="52">
        <f t="shared" si="5"/>
        <v>-6.345009914078005E-2</v>
      </c>
      <c r="AH294" s="25">
        <v>148.6</v>
      </c>
      <c r="AI294" s="52">
        <f t="shared" si="6"/>
        <v>-5.8301647655259928E-2</v>
      </c>
      <c r="AJ294" s="25">
        <v>157.6</v>
      </c>
      <c r="AK294" s="52">
        <f t="shared" si="7"/>
        <v>-3.7851037851037952E-2</v>
      </c>
      <c r="AL294" s="25">
        <v>154.9</v>
      </c>
      <c r="AM294" s="52">
        <f t="shared" si="8"/>
        <v>1.1757021554539591E-2</v>
      </c>
      <c r="AN294" s="25">
        <v>150</v>
      </c>
      <c r="AO294" s="52">
        <f t="shared" si="9"/>
        <v>-4.6408137317228294E-2</v>
      </c>
      <c r="AP294" s="25">
        <v>156.9</v>
      </c>
      <c r="AQ294" s="51">
        <f t="shared" si="10"/>
        <v>1.2763241863434401E-3</v>
      </c>
    </row>
    <row r="295" spans="1:43" x14ac:dyDescent="0.3">
      <c r="A295" s="25" t="s">
        <v>34</v>
      </c>
      <c r="B295" s="25">
        <v>2021</v>
      </c>
      <c r="C295" s="25" t="s">
        <v>36</v>
      </c>
      <c r="D295" s="26">
        <f>DATE(B295,MATCH(TRIM(C295),{"January","February","March","April","May","June","July","August","September","October","November","December"},0),1)</f>
        <v>44256</v>
      </c>
      <c r="E295" s="25">
        <v>144.1</v>
      </c>
      <c r="F295" s="25">
        <v>192.2</v>
      </c>
      <c r="G295" s="25">
        <v>163.80000000000001</v>
      </c>
      <c r="H295" s="25">
        <v>154.9</v>
      </c>
      <c r="I295" s="25">
        <v>163.9</v>
      </c>
      <c r="J295" s="25">
        <v>153.69999999999999</v>
      </c>
      <c r="K295" s="25">
        <v>149.5</v>
      </c>
      <c r="L295" s="25">
        <v>159.80000000000001</v>
      </c>
      <c r="M295" s="25">
        <v>112.6</v>
      </c>
      <c r="N295" s="25">
        <v>163.5</v>
      </c>
      <c r="O295" s="25">
        <v>156.5</v>
      </c>
      <c r="P295" s="25">
        <v>168.2</v>
      </c>
      <c r="Q295" s="25">
        <v>156.69999999999999</v>
      </c>
      <c r="R295" s="52">
        <f t="shared" si="0"/>
        <v>-2.306733167082305E-2</v>
      </c>
      <c r="S295" s="25">
        <v>188.1</v>
      </c>
      <c r="T295" s="52">
        <f t="shared" si="1"/>
        <v>-2.7906976744186077E-2</v>
      </c>
      <c r="U295" s="25">
        <v>157.80000000000001</v>
      </c>
      <c r="V295" s="25">
        <v>147.9</v>
      </c>
      <c r="W295" s="25">
        <v>156.4</v>
      </c>
      <c r="X295" s="52">
        <f t="shared" si="2"/>
        <v>2.4901703800786445E-2</v>
      </c>
      <c r="Y295" s="25">
        <v>159.9</v>
      </c>
      <c r="Z295" s="25">
        <v>155.5</v>
      </c>
      <c r="AA295" s="52">
        <f t="shared" si="11"/>
        <v>4.5219638242893316E-3</v>
      </c>
      <c r="AB295" s="25">
        <v>151.19999999999999</v>
      </c>
      <c r="AC295" s="52">
        <f t="shared" si="3"/>
        <v>2.7173913043478264E-2</v>
      </c>
      <c r="AD295" s="25">
        <v>161.69999999999999</v>
      </c>
      <c r="AE295" s="52">
        <f t="shared" si="4"/>
        <v>3.0592734225621306E-2</v>
      </c>
      <c r="AF295" s="25">
        <v>146.19999999999999</v>
      </c>
      <c r="AG295" s="52">
        <f t="shared" si="5"/>
        <v>3.1757233592095979E-2</v>
      </c>
      <c r="AH295" s="25">
        <v>152.6</v>
      </c>
      <c r="AI295" s="52">
        <f t="shared" si="6"/>
        <v>2.6917900403768506E-2</v>
      </c>
      <c r="AJ295" s="25">
        <v>160.19999999999999</v>
      </c>
      <c r="AK295" s="52">
        <f t="shared" si="7"/>
        <v>1.6497461928933976E-2</v>
      </c>
      <c r="AL295" s="25">
        <v>153.80000000000001</v>
      </c>
      <c r="AM295" s="52">
        <f t="shared" si="8"/>
        <v>-7.1013557133634232E-3</v>
      </c>
      <c r="AN295" s="25">
        <v>153.80000000000001</v>
      </c>
      <c r="AO295" s="52">
        <f t="shared" si="9"/>
        <v>2.5333333333333409E-2</v>
      </c>
      <c r="AP295" s="25">
        <v>156.80000000000001</v>
      </c>
      <c r="AQ295" s="51">
        <f t="shared" si="10"/>
        <v>-6.3734862970040991E-4</v>
      </c>
    </row>
    <row r="296" spans="1:43" hidden="1" x14ac:dyDescent="0.3">
      <c r="A296" s="25" t="s">
        <v>30</v>
      </c>
      <c r="B296" s="25">
        <v>2021</v>
      </c>
      <c r="C296" s="25" t="s">
        <v>37</v>
      </c>
      <c r="D296" s="26">
        <f>DATE(B296,MATCH(TRIM(C296),{"January","February","March","April","May","June","July","August","September","October","November","December"},0),1)</f>
        <v>44287</v>
      </c>
      <c r="E296" s="25">
        <v>142.69999999999999</v>
      </c>
      <c r="F296" s="25">
        <v>195.5</v>
      </c>
      <c r="G296" s="25">
        <v>163.4</v>
      </c>
      <c r="H296" s="25">
        <v>155</v>
      </c>
      <c r="I296" s="25">
        <v>175.2</v>
      </c>
      <c r="J296" s="25">
        <v>160.6</v>
      </c>
      <c r="K296" s="25">
        <v>135.1</v>
      </c>
      <c r="L296" s="25">
        <v>161.1</v>
      </c>
      <c r="M296" s="25">
        <v>112.2</v>
      </c>
      <c r="N296" s="25">
        <v>164.4</v>
      </c>
      <c r="O296" s="25">
        <v>161.9</v>
      </c>
      <c r="P296" s="25">
        <v>166.8</v>
      </c>
      <c r="Q296" s="25">
        <v>155.6</v>
      </c>
      <c r="R296" s="52">
        <f t="shared" si="0"/>
        <v>-7.0197830248882858E-3</v>
      </c>
      <c r="S296" s="25">
        <v>186.8</v>
      </c>
      <c r="T296" s="52">
        <f t="shared" si="1"/>
        <v>-6.9112174375331363E-3</v>
      </c>
      <c r="U296" s="25">
        <v>160.69999999999999</v>
      </c>
      <c r="V296" s="25">
        <v>155.1</v>
      </c>
      <c r="W296" s="25">
        <v>159.9</v>
      </c>
      <c r="X296" s="52">
        <f t="shared" si="2"/>
        <v>2.2378516624040921E-2</v>
      </c>
      <c r="Y296" s="25">
        <v>139.25</v>
      </c>
      <c r="Z296" s="25">
        <v>156</v>
      </c>
      <c r="AA296" s="52">
        <f t="shared" si="11"/>
        <v>3.2154340836012861E-3</v>
      </c>
      <c r="AB296" s="25">
        <v>155.5</v>
      </c>
      <c r="AC296" s="52">
        <f t="shared" si="3"/>
        <v>2.8439153439153517E-2</v>
      </c>
      <c r="AD296" s="25">
        <v>165.3</v>
      </c>
      <c r="AE296" s="52">
        <f t="shared" si="4"/>
        <v>2.2263450834879548E-2</v>
      </c>
      <c r="AF296" s="25">
        <v>151.69999999999999</v>
      </c>
      <c r="AG296" s="52">
        <f t="shared" si="5"/>
        <v>3.761969904240766E-2</v>
      </c>
      <c r="AH296" s="25">
        <v>158.6</v>
      </c>
      <c r="AI296" s="52">
        <f t="shared" si="6"/>
        <v>3.9318479685452164E-2</v>
      </c>
      <c r="AJ296" s="25">
        <v>164.1</v>
      </c>
      <c r="AK296" s="52">
        <f t="shared" si="7"/>
        <v>2.4344569288389552E-2</v>
      </c>
      <c r="AL296" s="25">
        <v>154.6</v>
      </c>
      <c r="AM296" s="52">
        <f t="shared" si="8"/>
        <v>5.2015604681403312E-3</v>
      </c>
      <c r="AN296" s="25">
        <v>158</v>
      </c>
      <c r="AO296" s="52">
        <f t="shared" si="9"/>
        <v>2.7308192457737246E-2</v>
      </c>
      <c r="AP296" s="25">
        <v>157.6</v>
      </c>
      <c r="AQ296" s="51">
        <f t="shared" si="10"/>
        <v>5.1020408163264218E-3</v>
      </c>
    </row>
    <row r="297" spans="1:43" hidden="1" x14ac:dyDescent="0.3">
      <c r="A297" s="25" t="s">
        <v>33</v>
      </c>
      <c r="B297" s="25">
        <v>2021</v>
      </c>
      <c r="C297" s="25" t="s">
        <v>37</v>
      </c>
      <c r="D297" s="26">
        <f>DATE(B297,MATCH(TRIM(C297),{"January","February","March","April","May","June","July","August","September","October","November","December"},0),1)</f>
        <v>44287</v>
      </c>
      <c r="E297" s="25">
        <v>147.6</v>
      </c>
      <c r="F297" s="25">
        <v>202.5</v>
      </c>
      <c r="G297" s="25">
        <v>166.4</v>
      </c>
      <c r="H297" s="25">
        <v>156</v>
      </c>
      <c r="I297" s="25">
        <v>161.4</v>
      </c>
      <c r="J297" s="25">
        <v>168.8</v>
      </c>
      <c r="K297" s="25">
        <v>161.6</v>
      </c>
      <c r="L297" s="25">
        <v>162.80000000000001</v>
      </c>
      <c r="M297" s="25">
        <v>114.8</v>
      </c>
      <c r="N297" s="25">
        <v>162.80000000000001</v>
      </c>
      <c r="O297" s="25">
        <v>151.5</v>
      </c>
      <c r="P297" s="25">
        <v>171.4</v>
      </c>
      <c r="Q297" s="25">
        <v>162</v>
      </c>
      <c r="R297" s="52">
        <f t="shared" si="0"/>
        <v>4.1131105398457622E-2</v>
      </c>
      <c r="S297" s="25">
        <v>194.4</v>
      </c>
      <c r="T297" s="52">
        <f t="shared" si="1"/>
        <v>4.0685224839400395E-2</v>
      </c>
      <c r="U297" s="25">
        <v>155.9</v>
      </c>
      <c r="V297" s="25">
        <v>139.30000000000001</v>
      </c>
      <c r="W297" s="25">
        <v>153.4</v>
      </c>
      <c r="X297" s="52">
        <f t="shared" si="2"/>
        <v>-4.065040650406504E-2</v>
      </c>
      <c r="Y297" s="25">
        <v>161.4</v>
      </c>
      <c r="Z297" s="25">
        <v>154.9</v>
      </c>
      <c r="AA297" s="52">
        <f t="shared" si="11"/>
        <v>-7.051282051282015E-3</v>
      </c>
      <c r="AB297" s="25">
        <v>147.6</v>
      </c>
      <c r="AC297" s="52">
        <f t="shared" si="3"/>
        <v>-5.0803858520900358E-2</v>
      </c>
      <c r="AD297" s="25">
        <v>157.5</v>
      </c>
      <c r="AE297" s="52">
        <f t="shared" si="4"/>
        <v>-4.7186932849364857E-2</v>
      </c>
      <c r="AF297" s="25">
        <v>142.1</v>
      </c>
      <c r="AG297" s="52">
        <f t="shared" si="5"/>
        <v>-6.3282794990112037E-2</v>
      </c>
      <c r="AH297" s="25">
        <v>149.1</v>
      </c>
      <c r="AI297" s="52">
        <f t="shared" si="6"/>
        <v>-5.9899117276166459E-2</v>
      </c>
      <c r="AJ297" s="25">
        <v>157.6</v>
      </c>
      <c r="AK297" s="52">
        <f t="shared" si="7"/>
        <v>-3.9609993906154786E-2</v>
      </c>
      <c r="AL297" s="25">
        <v>156.6</v>
      </c>
      <c r="AM297" s="52">
        <f t="shared" si="8"/>
        <v>1.2936610608020699E-2</v>
      </c>
      <c r="AN297" s="25">
        <v>150.5</v>
      </c>
      <c r="AO297" s="52">
        <f t="shared" si="9"/>
        <v>-4.746835443037975E-2</v>
      </c>
      <c r="AP297" s="25">
        <v>158</v>
      </c>
      <c r="AQ297" s="51">
        <f t="shared" si="10"/>
        <v>2.5380710659898839E-3</v>
      </c>
    </row>
    <row r="298" spans="1:43" x14ac:dyDescent="0.3">
      <c r="A298" s="25" t="s">
        <v>34</v>
      </c>
      <c r="B298" s="25">
        <v>2021</v>
      </c>
      <c r="C298" s="25" t="s">
        <v>37</v>
      </c>
      <c r="D298" s="26">
        <f>DATE(B298,MATCH(TRIM(C298),{"January","February","March","April","May","June","July","August","September","October","November","December"},0),1)</f>
        <v>44287</v>
      </c>
      <c r="E298" s="25">
        <v>144.30000000000001</v>
      </c>
      <c r="F298" s="25">
        <v>198</v>
      </c>
      <c r="G298" s="25">
        <v>164.6</v>
      </c>
      <c r="H298" s="25">
        <v>155.4</v>
      </c>
      <c r="I298" s="25">
        <v>170.1</v>
      </c>
      <c r="J298" s="25">
        <v>164.4</v>
      </c>
      <c r="K298" s="25">
        <v>144.1</v>
      </c>
      <c r="L298" s="25">
        <v>161.69999999999999</v>
      </c>
      <c r="M298" s="25">
        <v>113.1</v>
      </c>
      <c r="N298" s="25">
        <v>163.9</v>
      </c>
      <c r="O298" s="25">
        <v>157.6</v>
      </c>
      <c r="P298" s="25">
        <v>168.9</v>
      </c>
      <c r="Q298" s="25">
        <v>158</v>
      </c>
      <c r="R298" s="52">
        <f t="shared" si="0"/>
        <v>-2.4691358024691357E-2</v>
      </c>
      <c r="S298" s="25">
        <v>188.8</v>
      </c>
      <c r="T298" s="52">
        <f t="shared" si="1"/>
        <v>-2.8806584362139887E-2</v>
      </c>
      <c r="U298" s="25">
        <v>158.80000000000001</v>
      </c>
      <c r="V298" s="25">
        <v>148.5</v>
      </c>
      <c r="W298" s="25">
        <v>157.30000000000001</v>
      </c>
      <c r="X298" s="52">
        <f t="shared" si="2"/>
        <v>2.5423728813559358E-2</v>
      </c>
      <c r="Y298" s="25">
        <v>161.4</v>
      </c>
      <c r="Z298" s="25">
        <v>155.6</v>
      </c>
      <c r="AA298" s="52">
        <f t="shared" si="11"/>
        <v>4.5190445448675832E-3</v>
      </c>
      <c r="AB298" s="25">
        <v>151.80000000000001</v>
      </c>
      <c r="AC298" s="52">
        <f t="shared" si="3"/>
        <v>2.8455284552845645E-2</v>
      </c>
      <c r="AD298" s="25">
        <v>162.30000000000001</v>
      </c>
      <c r="AE298" s="52">
        <f t="shared" si="4"/>
        <v>3.0476190476190549E-2</v>
      </c>
      <c r="AF298" s="25">
        <v>146.6</v>
      </c>
      <c r="AG298" s="52">
        <f t="shared" si="5"/>
        <v>3.1667839549612949E-2</v>
      </c>
      <c r="AH298" s="25">
        <v>153.19999999999999</v>
      </c>
      <c r="AI298" s="52">
        <f t="shared" si="6"/>
        <v>2.7498323272971123E-2</v>
      </c>
      <c r="AJ298" s="25">
        <v>160.30000000000001</v>
      </c>
      <c r="AK298" s="52">
        <f t="shared" si="7"/>
        <v>1.7131979695431582E-2</v>
      </c>
      <c r="AL298" s="25">
        <v>155.4</v>
      </c>
      <c r="AM298" s="52">
        <f t="shared" si="8"/>
        <v>-7.6628352490420732E-3</v>
      </c>
      <c r="AN298" s="25">
        <v>154.4</v>
      </c>
      <c r="AO298" s="52">
        <f t="shared" si="9"/>
        <v>2.5913621262458511E-2</v>
      </c>
      <c r="AP298" s="25">
        <v>157.80000000000001</v>
      </c>
      <c r="AQ298" s="51">
        <f t="shared" si="10"/>
        <v>-1.2658227848100546E-3</v>
      </c>
    </row>
    <row r="299" spans="1:43" hidden="1" x14ac:dyDescent="0.3">
      <c r="A299" s="25" t="s">
        <v>30</v>
      </c>
      <c r="B299" s="25">
        <v>2021</v>
      </c>
      <c r="C299" s="25" t="s">
        <v>38</v>
      </c>
      <c r="D299" s="26">
        <f>DATE(B299,MATCH(TRIM(C299),{"January","February","March","April","May","June","July","August","September","October","November","December"},0),1)</f>
        <v>44317</v>
      </c>
      <c r="E299" s="25">
        <v>145.1</v>
      </c>
      <c r="F299" s="25">
        <v>198.5</v>
      </c>
      <c r="G299" s="25">
        <v>168.6</v>
      </c>
      <c r="H299" s="25">
        <v>155.80000000000001</v>
      </c>
      <c r="I299" s="25">
        <v>184.4</v>
      </c>
      <c r="J299" s="25">
        <v>162.30000000000001</v>
      </c>
      <c r="K299" s="25">
        <v>138.4</v>
      </c>
      <c r="L299" s="25">
        <v>165.1</v>
      </c>
      <c r="M299" s="25">
        <v>114.3</v>
      </c>
      <c r="N299" s="25">
        <v>169.7</v>
      </c>
      <c r="O299" s="25">
        <v>164.6</v>
      </c>
      <c r="P299" s="25">
        <v>169.8</v>
      </c>
      <c r="Q299" s="25">
        <v>158.69999999999999</v>
      </c>
      <c r="R299" s="52">
        <f t="shared" si="0"/>
        <v>4.4303797468353712E-3</v>
      </c>
      <c r="S299" s="25">
        <v>189.6</v>
      </c>
      <c r="T299" s="52">
        <f t="shared" si="1"/>
        <v>4.2372881355931301E-3</v>
      </c>
      <c r="U299" s="25">
        <v>165.3</v>
      </c>
      <c r="V299" s="25">
        <v>160.6</v>
      </c>
      <c r="W299" s="25">
        <v>164.5</v>
      </c>
      <c r="X299" s="52">
        <f t="shared" si="2"/>
        <v>4.5772409408772967E-2</v>
      </c>
      <c r="Y299" s="25" t="s">
        <v>32</v>
      </c>
      <c r="Z299" s="25">
        <v>161.69999999999999</v>
      </c>
      <c r="AA299" s="52">
        <f t="shared" si="11"/>
        <v>3.9203084832904848E-2</v>
      </c>
      <c r="AB299" s="25">
        <v>158.80000000000001</v>
      </c>
      <c r="AC299" s="52">
        <f t="shared" si="3"/>
        <v>4.61133069828722E-2</v>
      </c>
      <c r="AD299" s="25">
        <v>169.1</v>
      </c>
      <c r="AE299" s="52">
        <f t="shared" si="4"/>
        <v>4.1897720271102785E-2</v>
      </c>
      <c r="AF299" s="25">
        <v>153.19999999999999</v>
      </c>
      <c r="AG299" s="52">
        <f t="shared" si="5"/>
        <v>4.5020463847203235E-2</v>
      </c>
      <c r="AH299" s="25">
        <v>160</v>
      </c>
      <c r="AI299" s="52">
        <f t="shared" si="6"/>
        <v>4.4386422976501382E-2</v>
      </c>
      <c r="AJ299" s="25">
        <v>167.6</v>
      </c>
      <c r="AK299" s="52">
        <f t="shared" si="7"/>
        <v>4.5539613225202634E-2</v>
      </c>
      <c r="AL299" s="25">
        <v>159.30000000000001</v>
      </c>
      <c r="AM299" s="52">
        <f t="shared" si="8"/>
        <v>2.5096525096525133E-2</v>
      </c>
      <c r="AN299" s="25">
        <v>161.1</v>
      </c>
      <c r="AO299" s="52">
        <f t="shared" si="9"/>
        <v>4.3393782383419614E-2</v>
      </c>
      <c r="AP299" s="25">
        <v>161.1</v>
      </c>
      <c r="AQ299" s="51">
        <f t="shared" si="10"/>
        <v>2.0912547528517001E-2</v>
      </c>
    </row>
    <row r="300" spans="1:43" hidden="1" x14ac:dyDescent="0.3">
      <c r="A300" s="25" t="s">
        <v>33</v>
      </c>
      <c r="B300" s="25">
        <v>2021</v>
      </c>
      <c r="C300" s="25" t="s">
        <v>38</v>
      </c>
      <c r="D300" s="26">
        <f>DATE(B300,MATCH(TRIM(C300),{"January","February","March","April","May","June","July","August","September","October","November","December"},0),1)</f>
        <v>44317</v>
      </c>
      <c r="E300" s="25">
        <v>148.80000000000001</v>
      </c>
      <c r="F300" s="25">
        <v>204.3</v>
      </c>
      <c r="G300" s="25">
        <v>173</v>
      </c>
      <c r="H300" s="25">
        <v>156.5</v>
      </c>
      <c r="I300" s="25">
        <v>168.8</v>
      </c>
      <c r="J300" s="25">
        <v>172.5</v>
      </c>
      <c r="K300" s="25">
        <v>166.5</v>
      </c>
      <c r="L300" s="25">
        <v>165.9</v>
      </c>
      <c r="M300" s="25">
        <v>115.9</v>
      </c>
      <c r="N300" s="25">
        <v>165.2</v>
      </c>
      <c r="O300" s="25">
        <v>152</v>
      </c>
      <c r="P300" s="25">
        <v>171.1</v>
      </c>
      <c r="Q300" s="25">
        <v>164.2</v>
      </c>
      <c r="R300" s="52">
        <f t="shared" si="0"/>
        <v>3.4656584751102712E-2</v>
      </c>
      <c r="S300" s="25">
        <v>198.2</v>
      </c>
      <c r="T300" s="52">
        <f t="shared" si="1"/>
        <v>4.5358649789029509E-2</v>
      </c>
      <c r="U300" s="25">
        <v>156.5</v>
      </c>
      <c r="V300" s="25">
        <v>140.19999999999999</v>
      </c>
      <c r="W300" s="25">
        <v>154.1</v>
      </c>
      <c r="X300" s="52">
        <f t="shared" si="2"/>
        <v>-6.3221884498480277E-2</v>
      </c>
      <c r="Y300" s="25">
        <v>161.6</v>
      </c>
      <c r="Z300" s="25">
        <v>155.5</v>
      </c>
      <c r="AA300" s="52">
        <f t="shared" si="11"/>
        <v>-3.8342609771181133E-2</v>
      </c>
      <c r="AB300" s="25">
        <v>150.1</v>
      </c>
      <c r="AC300" s="52">
        <f t="shared" si="3"/>
        <v>-5.4785894206549224E-2</v>
      </c>
      <c r="AD300" s="25">
        <v>160.4</v>
      </c>
      <c r="AE300" s="52">
        <f t="shared" si="4"/>
        <v>-5.1448846836191539E-2</v>
      </c>
      <c r="AF300" s="25">
        <v>145</v>
      </c>
      <c r="AG300" s="52">
        <f t="shared" si="5"/>
        <v>-5.3524804177545619E-2</v>
      </c>
      <c r="AH300" s="25">
        <v>152.6</v>
      </c>
      <c r="AI300" s="52">
        <f t="shared" si="6"/>
        <v>-4.6250000000000034E-2</v>
      </c>
      <c r="AJ300" s="25">
        <v>156.6</v>
      </c>
      <c r="AK300" s="52">
        <f t="shared" si="7"/>
        <v>-6.5632458233890217E-2</v>
      </c>
      <c r="AL300" s="25">
        <v>157.5</v>
      </c>
      <c r="AM300" s="52">
        <f t="shared" si="8"/>
        <v>-1.1299435028248659E-2</v>
      </c>
      <c r="AN300" s="25">
        <v>152.30000000000001</v>
      </c>
      <c r="AO300" s="52">
        <f t="shared" si="9"/>
        <v>-5.4624456859093624E-2</v>
      </c>
      <c r="AP300" s="25">
        <v>159.5</v>
      </c>
      <c r="AQ300" s="51">
        <f t="shared" si="10"/>
        <v>-9.9317194289260981E-3</v>
      </c>
    </row>
    <row r="301" spans="1:43" x14ac:dyDescent="0.3">
      <c r="A301" s="25" t="s">
        <v>34</v>
      </c>
      <c r="B301" s="25">
        <v>2021</v>
      </c>
      <c r="C301" s="25" t="s">
        <v>38</v>
      </c>
      <c r="D301" s="26">
        <f>DATE(B301,MATCH(TRIM(C301),{"January","February","March","April","May","June","July","August","September","October","November","December"},0),1)</f>
        <v>44317</v>
      </c>
      <c r="E301" s="25">
        <v>146.30000000000001</v>
      </c>
      <c r="F301" s="25">
        <v>200.5</v>
      </c>
      <c r="G301" s="25">
        <v>170.3</v>
      </c>
      <c r="H301" s="25">
        <v>156.1</v>
      </c>
      <c r="I301" s="25">
        <v>178.7</v>
      </c>
      <c r="J301" s="25">
        <v>167.1</v>
      </c>
      <c r="K301" s="25">
        <v>147.9</v>
      </c>
      <c r="L301" s="25">
        <v>165.4</v>
      </c>
      <c r="M301" s="25">
        <v>114.8</v>
      </c>
      <c r="N301" s="25">
        <v>168.2</v>
      </c>
      <c r="O301" s="25">
        <v>159.30000000000001</v>
      </c>
      <c r="P301" s="25">
        <v>170.4</v>
      </c>
      <c r="Q301" s="25">
        <v>160.69999999999999</v>
      </c>
      <c r="R301" s="52">
        <f t="shared" si="0"/>
        <v>-2.131546894031669E-2</v>
      </c>
      <c r="S301" s="25">
        <v>191.9</v>
      </c>
      <c r="T301" s="52">
        <f t="shared" si="1"/>
        <v>-3.1786074672048352E-2</v>
      </c>
      <c r="U301" s="25">
        <v>161.80000000000001</v>
      </c>
      <c r="V301" s="25">
        <v>152.1</v>
      </c>
      <c r="W301" s="25">
        <v>160.4</v>
      </c>
      <c r="X301" s="52">
        <f t="shared" si="2"/>
        <v>4.0882543802725581E-2</v>
      </c>
      <c r="Y301" s="25">
        <v>161.6</v>
      </c>
      <c r="Z301" s="25">
        <v>159.4</v>
      </c>
      <c r="AA301" s="52">
        <f t="shared" si="11"/>
        <v>2.5080385852090069E-2</v>
      </c>
      <c r="AB301" s="25">
        <v>154.69999999999999</v>
      </c>
      <c r="AC301" s="52">
        <f t="shared" si="3"/>
        <v>3.0646235842771451E-2</v>
      </c>
      <c r="AD301" s="25">
        <v>165.8</v>
      </c>
      <c r="AE301" s="52">
        <f t="shared" si="4"/>
        <v>3.3665835411471355E-2</v>
      </c>
      <c r="AF301" s="25">
        <v>148.9</v>
      </c>
      <c r="AG301" s="52">
        <f t="shared" si="5"/>
        <v>2.689655172413797E-2</v>
      </c>
      <c r="AH301" s="25">
        <v>155.80000000000001</v>
      </c>
      <c r="AI301" s="52">
        <f t="shared" si="6"/>
        <v>2.0969855832241265E-2</v>
      </c>
      <c r="AJ301" s="25">
        <v>161.19999999999999</v>
      </c>
      <c r="AK301" s="52">
        <f t="shared" si="7"/>
        <v>2.9374201787994856E-2</v>
      </c>
      <c r="AL301" s="25">
        <v>158.6</v>
      </c>
      <c r="AM301" s="52">
        <f t="shared" si="8"/>
        <v>6.9841269841269477E-3</v>
      </c>
      <c r="AN301" s="25">
        <v>156.80000000000001</v>
      </c>
      <c r="AO301" s="52">
        <f t="shared" si="9"/>
        <v>2.9546946815495731E-2</v>
      </c>
      <c r="AP301" s="25">
        <v>160.4</v>
      </c>
      <c r="AQ301" s="51">
        <f t="shared" si="10"/>
        <v>5.6426332288401614E-3</v>
      </c>
    </row>
    <row r="302" spans="1:43" hidden="1" x14ac:dyDescent="0.3">
      <c r="A302" s="25" t="s">
        <v>30</v>
      </c>
      <c r="B302" s="25">
        <v>2021</v>
      </c>
      <c r="C302" s="25" t="s">
        <v>39</v>
      </c>
      <c r="D302" s="26">
        <f>DATE(B302,MATCH(TRIM(C302),{"January","February","March","April","May","June","July","August","September","October","November","December"},0),1)</f>
        <v>44348</v>
      </c>
      <c r="E302" s="25">
        <v>145.6</v>
      </c>
      <c r="F302" s="25">
        <v>200.1</v>
      </c>
      <c r="G302" s="25">
        <v>179.3</v>
      </c>
      <c r="H302" s="25">
        <v>156.1</v>
      </c>
      <c r="I302" s="25">
        <v>190.4</v>
      </c>
      <c r="J302" s="25">
        <v>158.6</v>
      </c>
      <c r="K302" s="25">
        <v>144.69999999999999</v>
      </c>
      <c r="L302" s="25">
        <v>165.5</v>
      </c>
      <c r="M302" s="25">
        <v>114.6</v>
      </c>
      <c r="N302" s="25">
        <v>170</v>
      </c>
      <c r="O302" s="25">
        <v>165.5</v>
      </c>
      <c r="P302" s="25">
        <v>171.7</v>
      </c>
      <c r="Q302" s="25">
        <v>160.5</v>
      </c>
      <c r="R302" s="52">
        <f t="shared" si="0"/>
        <v>-1.2445550715618459E-3</v>
      </c>
      <c r="S302" s="25">
        <v>189.1</v>
      </c>
      <c r="T302" s="52">
        <f t="shared" si="1"/>
        <v>-1.4590932777488333E-2</v>
      </c>
      <c r="U302" s="25">
        <v>165.3</v>
      </c>
      <c r="V302" s="25">
        <v>159.9</v>
      </c>
      <c r="W302" s="25">
        <v>164.6</v>
      </c>
      <c r="X302" s="52">
        <f t="shared" si="2"/>
        <v>2.618453865336651E-2</v>
      </c>
      <c r="Y302" s="25" t="s">
        <v>32</v>
      </c>
      <c r="Z302" s="25">
        <v>162.1</v>
      </c>
      <c r="AA302" s="52">
        <f t="shared" si="11"/>
        <v>1.6938519447929665E-2</v>
      </c>
      <c r="AB302" s="25">
        <v>159.19999999999999</v>
      </c>
      <c r="AC302" s="52">
        <f t="shared" si="3"/>
        <v>2.9088558500323207E-2</v>
      </c>
      <c r="AD302" s="25">
        <v>169.7</v>
      </c>
      <c r="AE302" s="52">
        <f t="shared" si="4"/>
        <v>2.3522316043425674E-2</v>
      </c>
      <c r="AF302" s="25">
        <v>154.19999999999999</v>
      </c>
      <c r="AG302" s="52">
        <f t="shared" si="5"/>
        <v>3.5594358629952874E-2</v>
      </c>
      <c r="AH302" s="25">
        <v>160.4</v>
      </c>
      <c r="AI302" s="52">
        <f t="shared" si="6"/>
        <v>2.952503209242615E-2</v>
      </c>
      <c r="AJ302" s="25">
        <v>166.8</v>
      </c>
      <c r="AK302" s="52">
        <f t="shared" si="7"/>
        <v>3.4739454094292944E-2</v>
      </c>
      <c r="AL302" s="25">
        <v>159.4</v>
      </c>
      <c r="AM302" s="52">
        <f t="shared" si="8"/>
        <v>5.0441361916772473E-3</v>
      </c>
      <c r="AN302" s="25">
        <v>161.5</v>
      </c>
      <c r="AO302" s="52">
        <f t="shared" si="9"/>
        <v>2.9974489795918293E-2</v>
      </c>
      <c r="AP302" s="25">
        <v>162.1</v>
      </c>
      <c r="AQ302" s="51">
        <f t="shared" si="10"/>
        <v>1.0598503740648307E-2</v>
      </c>
    </row>
    <row r="303" spans="1:43" hidden="1" x14ac:dyDescent="0.3">
      <c r="A303" s="25" t="s">
        <v>33</v>
      </c>
      <c r="B303" s="25">
        <v>2021</v>
      </c>
      <c r="C303" s="25" t="s">
        <v>39</v>
      </c>
      <c r="D303" s="26">
        <f>DATE(B303,MATCH(TRIM(C303),{"January","February","March","April","May","June","July","August","September","October","November","December"},0),1)</f>
        <v>44348</v>
      </c>
      <c r="E303" s="25">
        <v>149.19999999999999</v>
      </c>
      <c r="F303" s="25">
        <v>205.5</v>
      </c>
      <c r="G303" s="25">
        <v>182.8</v>
      </c>
      <c r="H303" s="25">
        <v>156.5</v>
      </c>
      <c r="I303" s="25">
        <v>172.2</v>
      </c>
      <c r="J303" s="25">
        <v>171.5</v>
      </c>
      <c r="K303" s="25">
        <v>176.2</v>
      </c>
      <c r="L303" s="25">
        <v>166.9</v>
      </c>
      <c r="M303" s="25">
        <v>116.1</v>
      </c>
      <c r="N303" s="25">
        <v>165.5</v>
      </c>
      <c r="O303" s="25">
        <v>152.30000000000001</v>
      </c>
      <c r="P303" s="25">
        <v>173.3</v>
      </c>
      <c r="Q303" s="25">
        <v>166.2</v>
      </c>
      <c r="R303" s="52">
        <f t="shared" si="0"/>
        <v>3.5514018691588711E-2</v>
      </c>
      <c r="S303" s="25">
        <v>195.6</v>
      </c>
      <c r="T303" s="52">
        <f t="shared" si="1"/>
        <v>3.4373347435219463E-2</v>
      </c>
      <c r="U303" s="25">
        <v>157.30000000000001</v>
      </c>
      <c r="V303" s="25">
        <v>140.5</v>
      </c>
      <c r="W303" s="25">
        <v>154.80000000000001</v>
      </c>
      <c r="X303" s="52">
        <f t="shared" si="2"/>
        <v>-5.9538274605103178E-2</v>
      </c>
      <c r="Y303" s="25">
        <v>160.5</v>
      </c>
      <c r="Z303" s="25">
        <v>156.1</v>
      </c>
      <c r="AA303" s="52">
        <f t="shared" si="11"/>
        <v>-3.701418877236274E-2</v>
      </c>
      <c r="AB303" s="25">
        <v>149.80000000000001</v>
      </c>
      <c r="AC303" s="52">
        <f t="shared" si="3"/>
        <v>-5.9045226130653126E-2</v>
      </c>
      <c r="AD303" s="25">
        <v>160.80000000000001</v>
      </c>
      <c r="AE303" s="52">
        <f t="shared" si="4"/>
        <v>-5.2445492044784783E-2</v>
      </c>
      <c r="AF303" s="25">
        <v>147.5</v>
      </c>
      <c r="AG303" s="52">
        <f t="shared" si="5"/>
        <v>-4.345006485084299E-2</v>
      </c>
      <c r="AH303" s="25">
        <v>150.69999999999999</v>
      </c>
      <c r="AI303" s="52">
        <f t="shared" si="6"/>
        <v>-6.0473815461346739E-2</v>
      </c>
      <c r="AJ303" s="25">
        <v>158.1</v>
      </c>
      <c r="AK303" s="52">
        <f t="shared" si="7"/>
        <v>-5.2158273381295063E-2</v>
      </c>
      <c r="AL303" s="25">
        <v>158</v>
      </c>
      <c r="AM303" s="52">
        <f t="shared" si="8"/>
        <v>-8.7829360100376772E-3</v>
      </c>
      <c r="AN303" s="25">
        <v>153.4</v>
      </c>
      <c r="AO303" s="52">
        <f t="shared" si="9"/>
        <v>-5.0154798761609873E-2</v>
      </c>
      <c r="AP303" s="25">
        <v>160.4</v>
      </c>
      <c r="AQ303" s="51">
        <f t="shared" si="10"/>
        <v>-1.0487353485502707E-2</v>
      </c>
    </row>
    <row r="304" spans="1:43" x14ac:dyDescent="0.3">
      <c r="A304" s="25" t="s">
        <v>34</v>
      </c>
      <c r="B304" s="25">
        <v>2021</v>
      </c>
      <c r="C304" s="25" t="s">
        <v>39</v>
      </c>
      <c r="D304" s="26">
        <f>DATE(B304,MATCH(TRIM(C304),{"January","February","March","April","May","June","July","August","September","October","November","December"},0),1)</f>
        <v>44348</v>
      </c>
      <c r="E304" s="25">
        <v>146.69999999999999</v>
      </c>
      <c r="F304" s="25">
        <v>202</v>
      </c>
      <c r="G304" s="25">
        <v>180.7</v>
      </c>
      <c r="H304" s="25">
        <v>156.19999999999999</v>
      </c>
      <c r="I304" s="25">
        <v>183.7</v>
      </c>
      <c r="J304" s="25">
        <v>164.6</v>
      </c>
      <c r="K304" s="25">
        <v>155.4</v>
      </c>
      <c r="L304" s="25">
        <v>166</v>
      </c>
      <c r="M304" s="25">
        <v>115.1</v>
      </c>
      <c r="N304" s="25">
        <v>168.5</v>
      </c>
      <c r="O304" s="25">
        <v>160</v>
      </c>
      <c r="P304" s="25">
        <v>172.4</v>
      </c>
      <c r="Q304" s="25">
        <v>162.6</v>
      </c>
      <c r="R304" s="52">
        <f t="shared" si="0"/>
        <v>-2.1660649819494553E-2</v>
      </c>
      <c r="S304" s="25">
        <v>190.8</v>
      </c>
      <c r="T304" s="52">
        <f t="shared" si="1"/>
        <v>-2.4539877300613411E-2</v>
      </c>
      <c r="U304" s="25">
        <v>162.19999999999999</v>
      </c>
      <c r="V304" s="25">
        <v>151.80000000000001</v>
      </c>
      <c r="W304" s="25">
        <v>160.69999999999999</v>
      </c>
      <c r="X304" s="52">
        <f t="shared" si="2"/>
        <v>3.8113695090439124E-2</v>
      </c>
      <c r="Y304" s="25">
        <v>160.5</v>
      </c>
      <c r="Z304" s="25">
        <v>159.80000000000001</v>
      </c>
      <c r="AA304" s="52">
        <f t="shared" si="11"/>
        <v>2.3702754644458791E-2</v>
      </c>
      <c r="AB304" s="25">
        <v>154.80000000000001</v>
      </c>
      <c r="AC304" s="52">
        <f t="shared" si="3"/>
        <v>3.3377837116154871E-2</v>
      </c>
      <c r="AD304" s="25">
        <v>166.3</v>
      </c>
      <c r="AE304" s="52">
        <f t="shared" si="4"/>
        <v>3.4203980099502485E-2</v>
      </c>
      <c r="AF304" s="25">
        <v>150.69999999999999</v>
      </c>
      <c r="AG304" s="52">
        <f t="shared" si="5"/>
        <v>2.169491525423721E-2</v>
      </c>
      <c r="AH304" s="25">
        <v>154.9</v>
      </c>
      <c r="AI304" s="52">
        <f t="shared" si="6"/>
        <v>2.7869940278699518E-2</v>
      </c>
      <c r="AJ304" s="25">
        <v>161.69999999999999</v>
      </c>
      <c r="AK304" s="52">
        <f t="shared" si="7"/>
        <v>2.2770398481973399E-2</v>
      </c>
      <c r="AL304" s="25">
        <v>158.80000000000001</v>
      </c>
      <c r="AM304" s="52">
        <f t="shared" si="8"/>
        <v>5.0632911392405784E-3</v>
      </c>
      <c r="AN304" s="25">
        <v>157.6</v>
      </c>
      <c r="AO304" s="52">
        <f t="shared" si="9"/>
        <v>2.7379400260756116E-2</v>
      </c>
      <c r="AP304" s="25">
        <v>161.30000000000001</v>
      </c>
      <c r="AQ304" s="51">
        <f t="shared" si="10"/>
        <v>5.6109725685785893E-3</v>
      </c>
    </row>
    <row r="305" spans="1:43" hidden="1" x14ac:dyDescent="0.3">
      <c r="A305" s="25" t="s">
        <v>30</v>
      </c>
      <c r="B305" s="25">
        <v>2021</v>
      </c>
      <c r="C305" s="25" t="s">
        <v>40</v>
      </c>
      <c r="D305" s="26">
        <f>DATE(B305,MATCH(TRIM(C305),{"January","February","March","April","May","June","July","August","September","October","November","December"},0),1)</f>
        <v>44378</v>
      </c>
      <c r="E305" s="25">
        <v>145.1</v>
      </c>
      <c r="F305" s="25">
        <v>204.5</v>
      </c>
      <c r="G305" s="25">
        <v>180.4</v>
      </c>
      <c r="H305" s="25">
        <v>157.1</v>
      </c>
      <c r="I305" s="25">
        <v>188.7</v>
      </c>
      <c r="J305" s="25">
        <v>157.69999999999999</v>
      </c>
      <c r="K305" s="25">
        <v>152.80000000000001</v>
      </c>
      <c r="L305" s="25">
        <v>163.6</v>
      </c>
      <c r="M305" s="25">
        <v>113.9</v>
      </c>
      <c r="N305" s="25">
        <v>169.7</v>
      </c>
      <c r="O305" s="25">
        <v>166.2</v>
      </c>
      <c r="P305" s="25">
        <v>171</v>
      </c>
      <c r="Q305" s="25">
        <v>161.69999999999999</v>
      </c>
      <c r="R305" s="52">
        <f t="shared" si="0"/>
        <v>-5.5350553505535407E-3</v>
      </c>
      <c r="S305" s="25">
        <v>189.7</v>
      </c>
      <c r="T305" s="52">
        <f t="shared" si="1"/>
        <v>-5.7651991614256952E-3</v>
      </c>
      <c r="U305" s="25">
        <v>166</v>
      </c>
      <c r="V305" s="25">
        <v>161.1</v>
      </c>
      <c r="W305" s="25">
        <v>165.3</v>
      </c>
      <c r="X305" s="52">
        <f t="shared" si="2"/>
        <v>2.8624766645924227E-2</v>
      </c>
      <c r="Y305" s="25" t="s">
        <v>32</v>
      </c>
      <c r="Z305" s="25">
        <v>162.5</v>
      </c>
      <c r="AA305" s="52">
        <f t="shared" si="11"/>
        <v>1.6896120150187662E-2</v>
      </c>
      <c r="AB305" s="25">
        <v>160.30000000000001</v>
      </c>
      <c r="AC305" s="52">
        <f t="shared" si="3"/>
        <v>3.55297157622739E-2</v>
      </c>
      <c r="AD305" s="25">
        <v>170.4</v>
      </c>
      <c r="AE305" s="52">
        <f t="shared" si="4"/>
        <v>2.4654239326518303E-2</v>
      </c>
      <c r="AF305" s="25">
        <v>157.1</v>
      </c>
      <c r="AG305" s="52">
        <f t="shared" si="5"/>
        <v>4.2468480424684846E-2</v>
      </c>
      <c r="AH305" s="25">
        <v>160.69999999999999</v>
      </c>
      <c r="AI305" s="52">
        <f t="shared" si="6"/>
        <v>3.744351194318904E-2</v>
      </c>
      <c r="AJ305" s="25">
        <v>167.2</v>
      </c>
      <c r="AK305" s="52">
        <f t="shared" si="7"/>
        <v>3.4013605442176874E-2</v>
      </c>
      <c r="AL305" s="25">
        <v>160.4</v>
      </c>
      <c r="AM305" s="52">
        <f t="shared" si="8"/>
        <v>1.0075566750629686E-2</v>
      </c>
      <c r="AN305" s="25">
        <v>162.80000000000001</v>
      </c>
      <c r="AO305" s="52">
        <f t="shared" si="9"/>
        <v>3.2994923857868133E-2</v>
      </c>
      <c r="AP305" s="25">
        <v>163.19999999999999</v>
      </c>
      <c r="AQ305" s="51">
        <f t="shared" si="10"/>
        <v>1.1779293242405314E-2</v>
      </c>
    </row>
    <row r="306" spans="1:43" hidden="1" x14ac:dyDescent="0.3">
      <c r="A306" s="25" t="s">
        <v>33</v>
      </c>
      <c r="B306" s="25">
        <v>2021</v>
      </c>
      <c r="C306" s="25" t="s">
        <v>40</v>
      </c>
      <c r="D306" s="26">
        <f>DATE(B306,MATCH(TRIM(C306),{"January","February","March","April","May","June","July","August","September","October","November","December"},0),1)</f>
        <v>44378</v>
      </c>
      <c r="E306" s="25">
        <v>149.1</v>
      </c>
      <c r="F306" s="25">
        <v>210.9</v>
      </c>
      <c r="G306" s="25">
        <v>185</v>
      </c>
      <c r="H306" s="25">
        <v>158.19999999999999</v>
      </c>
      <c r="I306" s="25">
        <v>170.6</v>
      </c>
      <c r="J306" s="25">
        <v>170.9</v>
      </c>
      <c r="K306" s="25">
        <v>186.4</v>
      </c>
      <c r="L306" s="25">
        <v>164.7</v>
      </c>
      <c r="M306" s="25">
        <v>115.7</v>
      </c>
      <c r="N306" s="25">
        <v>165.5</v>
      </c>
      <c r="O306" s="25">
        <v>153.4</v>
      </c>
      <c r="P306" s="25">
        <v>173.5</v>
      </c>
      <c r="Q306" s="25">
        <v>167.9</v>
      </c>
      <c r="R306" s="52">
        <f t="shared" si="0"/>
        <v>3.8342609771181306E-2</v>
      </c>
      <c r="S306" s="25">
        <v>195.5</v>
      </c>
      <c r="T306" s="52">
        <f t="shared" si="1"/>
        <v>3.0574591460200379E-2</v>
      </c>
      <c r="U306" s="25">
        <v>157.9</v>
      </c>
      <c r="V306" s="25">
        <v>141.9</v>
      </c>
      <c r="W306" s="25">
        <v>155.5</v>
      </c>
      <c r="X306" s="52">
        <f t="shared" si="2"/>
        <v>-5.9286146400484033E-2</v>
      </c>
      <c r="Y306" s="25">
        <v>161.5</v>
      </c>
      <c r="Z306" s="25">
        <v>157.69999999999999</v>
      </c>
      <c r="AA306" s="52">
        <f t="shared" si="11"/>
        <v>-2.9538461538461607E-2</v>
      </c>
      <c r="AB306" s="25">
        <v>150.69999999999999</v>
      </c>
      <c r="AC306" s="52">
        <f t="shared" si="3"/>
        <v>-5.9887710542732515E-2</v>
      </c>
      <c r="AD306" s="25">
        <v>161.5</v>
      </c>
      <c r="AE306" s="52">
        <f t="shared" si="4"/>
        <v>-5.223004694835684E-2</v>
      </c>
      <c r="AF306" s="25">
        <v>149.5</v>
      </c>
      <c r="AG306" s="52">
        <f t="shared" si="5"/>
        <v>-4.8376830044557576E-2</v>
      </c>
      <c r="AH306" s="25">
        <v>151.19999999999999</v>
      </c>
      <c r="AI306" s="52">
        <f t="shared" si="6"/>
        <v>-5.9116365899191045E-2</v>
      </c>
      <c r="AJ306" s="25">
        <v>160.30000000000001</v>
      </c>
      <c r="AK306" s="52">
        <f t="shared" si="7"/>
        <v>-4.1267942583731926E-2</v>
      </c>
      <c r="AL306" s="25">
        <v>159.6</v>
      </c>
      <c r="AM306" s="52">
        <f t="shared" si="8"/>
        <v>-4.9875311720698964E-3</v>
      </c>
      <c r="AN306" s="25">
        <v>155</v>
      </c>
      <c r="AO306" s="52">
        <f t="shared" si="9"/>
        <v>-4.7911547911547975E-2</v>
      </c>
      <c r="AP306" s="25">
        <v>161.80000000000001</v>
      </c>
      <c r="AQ306" s="51">
        <f t="shared" si="10"/>
        <v>-8.5784313725488816E-3</v>
      </c>
    </row>
    <row r="307" spans="1:43" x14ac:dyDescent="0.3">
      <c r="A307" s="25" t="s">
        <v>34</v>
      </c>
      <c r="B307" s="25">
        <v>2021</v>
      </c>
      <c r="C307" s="25" t="s">
        <v>40</v>
      </c>
      <c r="D307" s="26">
        <f>DATE(B307,MATCH(TRIM(C307),{"January","February","March","April","May","June","July","August","September","October","November","December"},0),1)</f>
        <v>44378</v>
      </c>
      <c r="E307" s="25">
        <v>146.4</v>
      </c>
      <c r="F307" s="25">
        <v>206.8</v>
      </c>
      <c r="G307" s="25">
        <v>182.2</v>
      </c>
      <c r="H307" s="25">
        <v>157.5</v>
      </c>
      <c r="I307" s="25">
        <v>182.1</v>
      </c>
      <c r="J307" s="25">
        <v>163.9</v>
      </c>
      <c r="K307" s="25">
        <v>164.2</v>
      </c>
      <c r="L307" s="25">
        <v>164</v>
      </c>
      <c r="M307" s="25">
        <v>114.5</v>
      </c>
      <c r="N307" s="25">
        <v>168.3</v>
      </c>
      <c r="O307" s="25">
        <v>160.9</v>
      </c>
      <c r="P307" s="25">
        <v>172.2</v>
      </c>
      <c r="Q307" s="25">
        <v>164</v>
      </c>
      <c r="R307" s="52">
        <f t="shared" si="0"/>
        <v>-2.3228111971411589E-2</v>
      </c>
      <c r="S307" s="25">
        <v>191.2</v>
      </c>
      <c r="T307" s="52">
        <f t="shared" si="1"/>
        <v>-2.1994884910485991E-2</v>
      </c>
      <c r="U307" s="25">
        <v>162.80000000000001</v>
      </c>
      <c r="V307" s="25">
        <v>153.1</v>
      </c>
      <c r="W307" s="25">
        <v>161.4</v>
      </c>
      <c r="X307" s="52">
        <f t="shared" si="2"/>
        <v>3.7942122186495217E-2</v>
      </c>
      <c r="Y307" s="25">
        <v>161.5</v>
      </c>
      <c r="Z307" s="25">
        <v>160.69999999999999</v>
      </c>
      <c r="AA307" s="52">
        <f t="shared" si="11"/>
        <v>1.9023462270133167E-2</v>
      </c>
      <c r="AB307" s="25">
        <v>155.80000000000001</v>
      </c>
      <c r="AC307" s="52">
        <f t="shared" si="3"/>
        <v>3.3842070338420856E-2</v>
      </c>
      <c r="AD307" s="25">
        <v>167</v>
      </c>
      <c r="AE307" s="52">
        <f t="shared" si="4"/>
        <v>3.4055727554179564E-2</v>
      </c>
      <c r="AF307" s="25">
        <v>153.1</v>
      </c>
      <c r="AG307" s="52">
        <f t="shared" si="5"/>
        <v>2.4080267558528389E-2</v>
      </c>
      <c r="AH307" s="25">
        <v>155.30000000000001</v>
      </c>
      <c r="AI307" s="52">
        <f t="shared" si="6"/>
        <v>2.7116402116402268E-2</v>
      </c>
      <c r="AJ307" s="25">
        <v>163.19999999999999</v>
      </c>
      <c r="AK307" s="52">
        <f t="shared" si="7"/>
        <v>1.8091079226450261E-2</v>
      </c>
      <c r="AL307" s="25">
        <v>160.1</v>
      </c>
      <c r="AM307" s="52">
        <f t="shared" si="8"/>
        <v>3.1328320802005015E-3</v>
      </c>
      <c r="AN307" s="25">
        <v>159</v>
      </c>
      <c r="AO307" s="52">
        <f t="shared" si="9"/>
        <v>2.5806451612903226E-2</v>
      </c>
      <c r="AP307" s="25">
        <v>162.5</v>
      </c>
      <c r="AQ307" s="51">
        <f t="shared" si="10"/>
        <v>4.3263288009888047E-3</v>
      </c>
    </row>
    <row r="308" spans="1:43" hidden="1" x14ac:dyDescent="0.3">
      <c r="A308" s="25" t="s">
        <v>30</v>
      </c>
      <c r="B308" s="25">
        <v>2021</v>
      </c>
      <c r="C308" s="25" t="s">
        <v>41</v>
      </c>
      <c r="D308" s="26">
        <f>DATE(B308,MATCH(TRIM(C308),{"January","February","March","April","May","June","July","August","September","October","November","December"},0),1)</f>
        <v>44409</v>
      </c>
      <c r="E308" s="25">
        <v>144.9</v>
      </c>
      <c r="F308" s="25">
        <v>202.3</v>
      </c>
      <c r="G308" s="25">
        <v>176.5</v>
      </c>
      <c r="H308" s="25">
        <v>157.5</v>
      </c>
      <c r="I308" s="25">
        <v>190.9</v>
      </c>
      <c r="J308" s="25">
        <v>155.69999999999999</v>
      </c>
      <c r="K308" s="25">
        <v>153.9</v>
      </c>
      <c r="L308" s="25">
        <v>162.80000000000001</v>
      </c>
      <c r="M308" s="25">
        <v>115.2</v>
      </c>
      <c r="N308" s="25">
        <v>169.8</v>
      </c>
      <c r="O308" s="25">
        <v>167.6</v>
      </c>
      <c r="P308" s="25">
        <v>171.9</v>
      </c>
      <c r="Q308" s="25">
        <v>161.80000000000001</v>
      </c>
      <c r="R308" s="52">
        <f t="shared" si="0"/>
        <v>-1.3414634146341394E-2</v>
      </c>
      <c r="S308" s="25">
        <v>190.2</v>
      </c>
      <c r="T308" s="52">
        <f t="shared" si="1"/>
        <v>-5.2301255230125529E-3</v>
      </c>
      <c r="U308" s="25">
        <v>167</v>
      </c>
      <c r="V308" s="25">
        <v>162.6</v>
      </c>
      <c r="W308" s="25">
        <v>166.3</v>
      </c>
      <c r="X308" s="52">
        <f t="shared" si="2"/>
        <v>3.035935563816608E-2</v>
      </c>
      <c r="Y308" s="25" t="s">
        <v>32</v>
      </c>
      <c r="Z308" s="25">
        <v>163.1</v>
      </c>
      <c r="AA308" s="52">
        <f t="shared" si="11"/>
        <v>1.4934660858743036E-2</v>
      </c>
      <c r="AB308" s="25">
        <v>160.9</v>
      </c>
      <c r="AC308" s="52">
        <f t="shared" si="3"/>
        <v>3.2734274711168125E-2</v>
      </c>
      <c r="AD308" s="25">
        <v>171.1</v>
      </c>
      <c r="AE308" s="52">
        <f t="shared" si="4"/>
        <v>2.455089820359278E-2</v>
      </c>
      <c r="AF308" s="25">
        <v>157.69999999999999</v>
      </c>
      <c r="AG308" s="52">
        <f t="shared" si="5"/>
        <v>3.0045721750489841E-2</v>
      </c>
      <c r="AH308" s="25">
        <v>161.1</v>
      </c>
      <c r="AI308" s="52">
        <f t="shared" si="6"/>
        <v>3.7347070186735241E-2</v>
      </c>
      <c r="AJ308" s="25">
        <v>167.5</v>
      </c>
      <c r="AK308" s="52">
        <f t="shared" si="7"/>
        <v>2.6348039215686347E-2</v>
      </c>
      <c r="AL308" s="25">
        <v>160.30000000000001</v>
      </c>
      <c r="AM308" s="52">
        <f t="shared" si="8"/>
        <v>1.2492192379763714E-3</v>
      </c>
      <c r="AN308" s="25">
        <v>163.30000000000001</v>
      </c>
      <c r="AO308" s="52">
        <f t="shared" si="9"/>
        <v>2.7044025157232775E-2</v>
      </c>
      <c r="AP308" s="25">
        <v>163.6</v>
      </c>
      <c r="AQ308" s="51">
        <f t="shared" si="10"/>
        <v>6.769230769230734E-3</v>
      </c>
    </row>
    <row r="309" spans="1:43" hidden="1" x14ac:dyDescent="0.3">
      <c r="A309" s="25" t="s">
        <v>33</v>
      </c>
      <c r="B309" s="25">
        <v>2021</v>
      </c>
      <c r="C309" s="25" t="s">
        <v>41</v>
      </c>
      <c r="D309" s="26">
        <f>DATE(B309,MATCH(TRIM(C309),{"January","February","March","April","May","June","July","August","September","October","November","December"},0),1)</f>
        <v>44409</v>
      </c>
      <c r="E309" s="25">
        <v>149.30000000000001</v>
      </c>
      <c r="F309" s="25">
        <v>207.4</v>
      </c>
      <c r="G309" s="25">
        <v>174.1</v>
      </c>
      <c r="H309" s="25">
        <v>159.19999999999999</v>
      </c>
      <c r="I309" s="25">
        <v>175</v>
      </c>
      <c r="J309" s="25">
        <v>161.30000000000001</v>
      </c>
      <c r="K309" s="25">
        <v>183.3</v>
      </c>
      <c r="L309" s="25">
        <v>164.5</v>
      </c>
      <c r="M309" s="25">
        <v>120.4</v>
      </c>
      <c r="N309" s="25">
        <v>166.2</v>
      </c>
      <c r="O309" s="25">
        <v>154.80000000000001</v>
      </c>
      <c r="P309" s="25">
        <v>175.1</v>
      </c>
      <c r="Q309" s="25">
        <v>167.3</v>
      </c>
      <c r="R309" s="52">
        <f t="shared" si="0"/>
        <v>3.3992583436341157E-2</v>
      </c>
      <c r="S309" s="25">
        <v>196.5</v>
      </c>
      <c r="T309" s="52">
        <f t="shared" si="1"/>
        <v>3.3123028391167257E-2</v>
      </c>
      <c r="U309" s="25">
        <v>159.80000000000001</v>
      </c>
      <c r="V309" s="25">
        <v>143.6</v>
      </c>
      <c r="W309" s="25">
        <v>157.30000000000001</v>
      </c>
      <c r="X309" s="52">
        <f t="shared" si="2"/>
        <v>-5.4119061936259767E-2</v>
      </c>
      <c r="Y309" s="25">
        <v>162.1</v>
      </c>
      <c r="Z309" s="25">
        <v>160.69999999999999</v>
      </c>
      <c r="AA309" s="52">
        <f t="shared" si="11"/>
        <v>-1.4714898835070545E-2</v>
      </c>
      <c r="AB309" s="25">
        <v>153.19999999999999</v>
      </c>
      <c r="AC309" s="52">
        <f t="shared" si="3"/>
        <v>-4.7855811062772015E-2</v>
      </c>
      <c r="AD309" s="25">
        <v>162.80000000000001</v>
      </c>
      <c r="AE309" s="52">
        <f t="shared" si="4"/>
        <v>-4.8509643483342975E-2</v>
      </c>
      <c r="AF309" s="25">
        <v>150.4</v>
      </c>
      <c r="AG309" s="52">
        <f t="shared" si="5"/>
        <v>-4.6290424857323931E-2</v>
      </c>
      <c r="AH309" s="25">
        <v>153.69999999999999</v>
      </c>
      <c r="AI309" s="52">
        <f t="shared" si="6"/>
        <v>-4.5934202358783399E-2</v>
      </c>
      <c r="AJ309" s="25">
        <v>160.4</v>
      </c>
      <c r="AK309" s="52">
        <f t="shared" si="7"/>
        <v>-4.2388059701492502E-2</v>
      </c>
      <c r="AL309" s="25">
        <v>159.6</v>
      </c>
      <c r="AM309" s="52">
        <f t="shared" si="8"/>
        <v>-4.3668122270743423E-3</v>
      </c>
      <c r="AN309" s="25">
        <v>156</v>
      </c>
      <c r="AO309" s="52">
        <f t="shared" si="9"/>
        <v>-4.4703000612369939E-2</v>
      </c>
      <c r="AP309" s="25">
        <v>162.30000000000001</v>
      </c>
      <c r="AQ309" s="51">
        <f t="shared" si="10"/>
        <v>-7.9462102689485514E-3</v>
      </c>
    </row>
    <row r="310" spans="1:43" x14ac:dyDescent="0.3">
      <c r="A310" s="25" t="s">
        <v>34</v>
      </c>
      <c r="B310" s="25">
        <v>2021</v>
      </c>
      <c r="C310" s="25" t="s">
        <v>41</v>
      </c>
      <c r="D310" s="26">
        <f>DATE(B310,MATCH(TRIM(C310),{"January","February","March","April","May","June","July","August","September","October","November","December"},0),1)</f>
        <v>44409</v>
      </c>
      <c r="E310" s="25">
        <v>146.6</v>
      </c>
      <c r="F310" s="25">
        <v>204</v>
      </c>
      <c r="G310" s="25">
        <v>172.8</v>
      </c>
      <c r="H310" s="25">
        <v>158.4</v>
      </c>
      <c r="I310" s="25">
        <v>188</v>
      </c>
      <c r="J310" s="25">
        <v>156.80000000000001</v>
      </c>
      <c r="K310" s="25">
        <v>162.19999999999999</v>
      </c>
      <c r="L310" s="25">
        <v>164.1</v>
      </c>
      <c r="M310" s="25">
        <v>119.7</v>
      </c>
      <c r="N310" s="25">
        <v>168.8</v>
      </c>
      <c r="O310" s="25">
        <v>162.69999999999999</v>
      </c>
      <c r="P310" s="25">
        <v>173.9</v>
      </c>
      <c r="Q310" s="25">
        <v>164</v>
      </c>
      <c r="R310" s="52">
        <f t="shared" si="0"/>
        <v>-1.9725044829647407E-2</v>
      </c>
      <c r="S310" s="25">
        <v>192.1</v>
      </c>
      <c r="T310" s="52">
        <f t="shared" si="1"/>
        <v>-2.2391857506361353E-2</v>
      </c>
      <c r="U310" s="25">
        <v>164.5</v>
      </c>
      <c r="V310" s="25">
        <v>155.30000000000001</v>
      </c>
      <c r="W310" s="25">
        <v>163.19999999999999</v>
      </c>
      <c r="X310" s="52">
        <f t="shared" si="2"/>
        <v>3.7507946598855542E-2</v>
      </c>
      <c r="Y310" s="25">
        <v>162.1</v>
      </c>
      <c r="Z310" s="25">
        <v>162.6</v>
      </c>
      <c r="AA310" s="52">
        <f t="shared" si="11"/>
        <v>1.1823273179838244E-2</v>
      </c>
      <c r="AB310" s="25">
        <v>157.5</v>
      </c>
      <c r="AC310" s="52">
        <f t="shared" si="3"/>
        <v>2.806788511749355E-2</v>
      </c>
      <c r="AD310" s="25">
        <v>168.4</v>
      </c>
      <c r="AE310" s="52">
        <f t="shared" si="4"/>
        <v>3.4398034398034363E-2</v>
      </c>
      <c r="AF310" s="25">
        <v>154</v>
      </c>
      <c r="AG310" s="52">
        <f t="shared" si="5"/>
        <v>2.3936170212765919E-2</v>
      </c>
      <c r="AH310" s="25">
        <v>157.6</v>
      </c>
      <c r="AI310" s="52">
        <f t="shared" si="6"/>
        <v>2.5374105400130163E-2</v>
      </c>
      <c r="AJ310" s="25">
        <v>163.80000000000001</v>
      </c>
      <c r="AK310" s="52">
        <f t="shared" si="7"/>
        <v>2.1197007481296794E-2</v>
      </c>
      <c r="AL310" s="25">
        <v>160</v>
      </c>
      <c r="AM310" s="52">
        <f t="shared" si="8"/>
        <v>2.5062656641604369E-3</v>
      </c>
      <c r="AN310" s="25">
        <v>160</v>
      </c>
      <c r="AO310" s="52">
        <f t="shared" si="9"/>
        <v>2.564102564102564E-2</v>
      </c>
      <c r="AP310" s="25">
        <v>163.19999999999999</v>
      </c>
      <c r="AQ310" s="51">
        <f t="shared" si="10"/>
        <v>5.5452865064693603E-3</v>
      </c>
    </row>
    <row r="311" spans="1:43" hidden="1" x14ac:dyDescent="0.3">
      <c r="A311" s="25" t="s">
        <v>30</v>
      </c>
      <c r="B311" s="25">
        <v>2021</v>
      </c>
      <c r="C311" s="25" t="s">
        <v>42</v>
      </c>
      <c r="D311" s="26">
        <f>DATE(B311,MATCH(TRIM(C311),{"January","February","March","April","May","June","July","August","September","October","November","December"},0),1)</f>
        <v>44440</v>
      </c>
      <c r="E311" s="25">
        <v>145.4</v>
      </c>
      <c r="F311" s="25">
        <v>202.1</v>
      </c>
      <c r="G311" s="25">
        <v>172</v>
      </c>
      <c r="H311" s="25">
        <v>158</v>
      </c>
      <c r="I311" s="25">
        <v>195.5</v>
      </c>
      <c r="J311" s="25">
        <v>152.69999999999999</v>
      </c>
      <c r="K311" s="25">
        <v>151.4</v>
      </c>
      <c r="L311" s="25">
        <v>163.9</v>
      </c>
      <c r="M311" s="25">
        <v>119.3</v>
      </c>
      <c r="N311" s="25">
        <v>170.1</v>
      </c>
      <c r="O311" s="25">
        <v>168.3</v>
      </c>
      <c r="P311" s="25">
        <v>172.8</v>
      </c>
      <c r="Q311" s="25">
        <v>162.1</v>
      </c>
      <c r="R311" s="52">
        <f t="shared" si="0"/>
        <v>-1.1585365853658571E-2</v>
      </c>
      <c r="S311" s="25">
        <v>190.5</v>
      </c>
      <c r="T311" s="52">
        <f t="shared" si="1"/>
        <v>-8.3289953149401057E-3</v>
      </c>
      <c r="U311" s="25">
        <v>167.7</v>
      </c>
      <c r="V311" s="25">
        <v>163.6</v>
      </c>
      <c r="W311" s="25">
        <v>167.1</v>
      </c>
      <c r="X311" s="52">
        <f t="shared" si="2"/>
        <v>2.3897058823529448E-2</v>
      </c>
      <c r="Y311" s="25" t="s">
        <v>32</v>
      </c>
      <c r="Z311" s="25">
        <v>163.69999999999999</v>
      </c>
      <c r="AA311" s="52">
        <f t="shared" si="11"/>
        <v>6.7650676506764724E-3</v>
      </c>
      <c r="AB311" s="25">
        <v>161.30000000000001</v>
      </c>
      <c r="AC311" s="52">
        <f t="shared" si="3"/>
        <v>2.4126984126984198E-2</v>
      </c>
      <c r="AD311" s="25">
        <v>171.9</v>
      </c>
      <c r="AE311" s="52">
        <f t="shared" si="4"/>
        <v>2.0783847980997625E-2</v>
      </c>
      <c r="AF311" s="25">
        <v>157.80000000000001</v>
      </c>
      <c r="AG311" s="52">
        <f t="shared" si="5"/>
        <v>2.4675324675324749E-2</v>
      </c>
      <c r="AH311" s="25">
        <v>162.69999999999999</v>
      </c>
      <c r="AI311" s="52">
        <f t="shared" si="6"/>
        <v>3.2360406091370524E-2</v>
      </c>
      <c r="AJ311" s="25">
        <v>168.5</v>
      </c>
      <c r="AK311" s="52">
        <f t="shared" si="7"/>
        <v>2.8693528693528623E-2</v>
      </c>
      <c r="AL311" s="25">
        <v>160.19999999999999</v>
      </c>
      <c r="AM311" s="52">
        <f t="shared" si="8"/>
        <v>1.2499999999999289E-3</v>
      </c>
      <c r="AN311" s="25">
        <v>163.80000000000001</v>
      </c>
      <c r="AO311" s="52">
        <f t="shared" si="9"/>
        <v>2.375000000000007E-2</v>
      </c>
      <c r="AP311" s="25">
        <v>164</v>
      </c>
      <c r="AQ311" s="51">
        <f t="shared" si="10"/>
        <v>4.9019607843137957E-3</v>
      </c>
    </row>
    <row r="312" spans="1:43" hidden="1" x14ac:dyDescent="0.3">
      <c r="A312" s="25" t="s">
        <v>33</v>
      </c>
      <c r="B312" s="25">
        <v>2021</v>
      </c>
      <c r="C312" s="25" t="s">
        <v>42</v>
      </c>
      <c r="D312" s="26">
        <f>DATE(B312,MATCH(TRIM(C312),{"January","February","March","April","May","June","July","August","September","October","November","December"},0),1)</f>
        <v>44440</v>
      </c>
      <c r="E312" s="25">
        <v>149.30000000000001</v>
      </c>
      <c r="F312" s="25">
        <v>207.4</v>
      </c>
      <c r="G312" s="25">
        <v>174.1</v>
      </c>
      <c r="H312" s="25">
        <v>159.1</v>
      </c>
      <c r="I312" s="25">
        <v>175</v>
      </c>
      <c r="J312" s="25">
        <v>161.19999999999999</v>
      </c>
      <c r="K312" s="25">
        <v>183.5</v>
      </c>
      <c r="L312" s="25">
        <v>164.5</v>
      </c>
      <c r="M312" s="25">
        <v>120.4</v>
      </c>
      <c r="N312" s="25">
        <v>166.2</v>
      </c>
      <c r="O312" s="25">
        <v>154.80000000000001</v>
      </c>
      <c r="P312" s="25">
        <v>175.1</v>
      </c>
      <c r="Q312" s="25">
        <v>167.3</v>
      </c>
      <c r="R312" s="52">
        <f t="shared" si="0"/>
        <v>3.2078963602714478E-2</v>
      </c>
      <c r="S312" s="25">
        <v>196.5</v>
      </c>
      <c r="T312" s="52">
        <f t="shared" si="1"/>
        <v>3.1496062992125984E-2</v>
      </c>
      <c r="U312" s="25">
        <v>159.80000000000001</v>
      </c>
      <c r="V312" s="25">
        <v>143.6</v>
      </c>
      <c r="W312" s="25">
        <v>157.4</v>
      </c>
      <c r="X312" s="52">
        <f t="shared" si="2"/>
        <v>-5.8049072411729435E-2</v>
      </c>
      <c r="Y312" s="25">
        <v>162.1</v>
      </c>
      <c r="Z312" s="25">
        <v>160.80000000000001</v>
      </c>
      <c r="AA312" s="52">
        <f t="shared" si="11"/>
        <v>-1.7715332926084165E-2</v>
      </c>
      <c r="AB312" s="25">
        <v>153.30000000000001</v>
      </c>
      <c r="AC312" s="52">
        <f t="shared" si="3"/>
        <v>-4.9597024178549283E-2</v>
      </c>
      <c r="AD312" s="25">
        <v>162.80000000000001</v>
      </c>
      <c r="AE312" s="52">
        <f t="shared" si="4"/>
        <v>-5.2937754508435103E-2</v>
      </c>
      <c r="AF312" s="25">
        <v>150.5</v>
      </c>
      <c r="AG312" s="52">
        <f t="shared" si="5"/>
        <v>-4.6261089987325796E-2</v>
      </c>
      <c r="AH312" s="25">
        <v>153.9</v>
      </c>
      <c r="AI312" s="52">
        <f t="shared" si="6"/>
        <v>-5.4087277197295537E-2</v>
      </c>
      <c r="AJ312" s="25">
        <v>160.30000000000001</v>
      </c>
      <c r="AK312" s="52">
        <f t="shared" si="7"/>
        <v>-4.8664688427299638E-2</v>
      </c>
      <c r="AL312" s="25">
        <v>159.6</v>
      </c>
      <c r="AM312" s="52">
        <f t="shared" si="8"/>
        <v>-3.74531835205989E-3</v>
      </c>
      <c r="AN312" s="25">
        <v>156</v>
      </c>
      <c r="AO312" s="52">
        <f t="shared" si="9"/>
        <v>-4.7619047619047686E-2</v>
      </c>
      <c r="AP312" s="25">
        <v>162.30000000000001</v>
      </c>
      <c r="AQ312" s="51">
        <f t="shared" si="10"/>
        <v>-1.0365853658536517E-2</v>
      </c>
    </row>
    <row r="313" spans="1:43" x14ac:dyDescent="0.3">
      <c r="A313" s="25" t="s">
        <v>34</v>
      </c>
      <c r="B313" s="25">
        <v>2021</v>
      </c>
      <c r="C313" s="25" t="s">
        <v>42</v>
      </c>
      <c r="D313" s="26">
        <f>DATE(B313,MATCH(TRIM(C313),{"January","February","March","April","May","June","July","August","September","October","November","December"},0),1)</f>
        <v>44440</v>
      </c>
      <c r="E313" s="25">
        <v>146.6</v>
      </c>
      <c r="F313" s="25">
        <v>204</v>
      </c>
      <c r="G313" s="25">
        <v>172.8</v>
      </c>
      <c r="H313" s="25">
        <v>158.4</v>
      </c>
      <c r="I313" s="25">
        <v>188</v>
      </c>
      <c r="J313" s="25">
        <v>156.69999999999999</v>
      </c>
      <c r="K313" s="25">
        <v>162.30000000000001</v>
      </c>
      <c r="L313" s="25">
        <v>164.1</v>
      </c>
      <c r="M313" s="25">
        <v>119.7</v>
      </c>
      <c r="N313" s="25">
        <v>168.8</v>
      </c>
      <c r="O313" s="25">
        <v>162.69999999999999</v>
      </c>
      <c r="P313" s="25">
        <v>173.9</v>
      </c>
      <c r="Q313" s="25">
        <v>164</v>
      </c>
      <c r="R313" s="52">
        <f t="shared" si="0"/>
        <v>-1.9725044829647407E-2</v>
      </c>
      <c r="S313" s="25">
        <v>192.1</v>
      </c>
      <c r="T313" s="52">
        <f t="shared" si="1"/>
        <v>-2.2391857506361353E-2</v>
      </c>
      <c r="U313" s="25">
        <v>164.6</v>
      </c>
      <c r="V313" s="25">
        <v>155.30000000000001</v>
      </c>
      <c r="W313" s="25">
        <v>163.30000000000001</v>
      </c>
      <c r="X313" s="52">
        <f t="shared" si="2"/>
        <v>3.7484116899618843E-2</v>
      </c>
      <c r="Y313" s="25">
        <v>162.1</v>
      </c>
      <c r="Z313" s="25">
        <v>162.6</v>
      </c>
      <c r="AA313" s="52">
        <f t="shared" si="11"/>
        <v>1.1194029850746162E-2</v>
      </c>
      <c r="AB313" s="25">
        <v>157.5</v>
      </c>
      <c r="AC313" s="52">
        <f t="shared" si="3"/>
        <v>2.7397260273972525E-2</v>
      </c>
      <c r="AD313" s="25">
        <v>168.4</v>
      </c>
      <c r="AE313" s="52">
        <f t="shared" si="4"/>
        <v>3.4398034398034363E-2</v>
      </c>
      <c r="AF313" s="25">
        <v>154</v>
      </c>
      <c r="AG313" s="52">
        <f t="shared" si="5"/>
        <v>2.3255813953488372E-2</v>
      </c>
      <c r="AH313" s="25">
        <v>157.69999999999999</v>
      </c>
      <c r="AI313" s="52">
        <f t="shared" si="6"/>
        <v>2.4691358024691246E-2</v>
      </c>
      <c r="AJ313" s="25">
        <v>163.69999999999999</v>
      </c>
      <c r="AK313" s="52">
        <f t="shared" si="7"/>
        <v>2.1210230817217575E-2</v>
      </c>
      <c r="AL313" s="25">
        <v>160</v>
      </c>
      <c r="AM313" s="52">
        <f t="shared" si="8"/>
        <v>2.5062656641604369E-3</v>
      </c>
      <c r="AN313" s="25">
        <v>160</v>
      </c>
      <c r="AO313" s="52">
        <f t="shared" si="9"/>
        <v>2.564102564102564E-2</v>
      </c>
      <c r="AP313" s="25">
        <v>163.19999999999999</v>
      </c>
      <c r="AQ313" s="51">
        <f t="shared" si="10"/>
        <v>5.5452865064693603E-3</v>
      </c>
    </row>
    <row r="314" spans="1:43" hidden="1" x14ac:dyDescent="0.3">
      <c r="A314" s="25" t="s">
        <v>30</v>
      </c>
      <c r="B314" s="25">
        <v>2021</v>
      </c>
      <c r="C314" s="25" t="s">
        <v>43</v>
      </c>
      <c r="D314" s="26">
        <f>DATE(B314,MATCH(TRIM(C314),{"January","February","March","April","May","June","July","August","September","October","November","December"},0),1)</f>
        <v>44470</v>
      </c>
      <c r="E314" s="25">
        <v>146.1</v>
      </c>
      <c r="F314" s="25">
        <v>202.5</v>
      </c>
      <c r="G314" s="25">
        <v>170.1</v>
      </c>
      <c r="H314" s="25">
        <v>158.4</v>
      </c>
      <c r="I314" s="25">
        <v>198.8</v>
      </c>
      <c r="J314" s="25">
        <v>152.6</v>
      </c>
      <c r="K314" s="25">
        <v>170.4</v>
      </c>
      <c r="L314" s="25">
        <v>165.2</v>
      </c>
      <c r="M314" s="25">
        <v>121.6</v>
      </c>
      <c r="N314" s="25">
        <v>170.6</v>
      </c>
      <c r="O314" s="25">
        <v>168.8</v>
      </c>
      <c r="P314" s="25">
        <v>173.6</v>
      </c>
      <c r="Q314" s="25">
        <v>165.5</v>
      </c>
      <c r="R314" s="52">
        <f t="shared" si="0"/>
        <v>9.1463414634146336E-3</v>
      </c>
      <c r="S314" s="25">
        <v>191.2</v>
      </c>
      <c r="T314" s="52">
        <f t="shared" si="1"/>
        <v>-4.6850598646538556E-3</v>
      </c>
      <c r="U314" s="25">
        <v>168.9</v>
      </c>
      <c r="V314" s="25">
        <v>164.8</v>
      </c>
      <c r="W314" s="25">
        <v>168.3</v>
      </c>
      <c r="X314" s="52">
        <f t="shared" si="2"/>
        <v>3.0618493570116347E-2</v>
      </c>
      <c r="Y314" s="25" t="s">
        <v>32</v>
      </c>
      <c r="Z314" s="25">
        <v>165.5</v>
      </c>
      <c r="AA314" s="52">
        <f t="shared" si="11"/>
        <v>1.7835178351783554E-2</v>
      </c>
      <c r="AB314" s="25">
        <v>162</v>
      </c>
      <c r="AC314" s="52">
        <f t="shared" si="3"/>
        <v>2.8571428571428571E-2</v>
      </c>
      <c r="AD314" s="25">
        <v>172.5</v>
      </c>
      <c r="AE314" s="52">
        <f t="shared" si="4"/>
        <v>2.4346793349168613E-2</v>
      </c>
      <c r="AF314" s="25">
        <v>159.5</v>
      </c>
      <c r="AG314" s="52">
        <f t="shared" si="5"/>
        <v>3.5714285714285712E-2</v>
      </c>
      <c r="AH314" s="25">
        <v>163.19999999999999</v>
      </c>
      <c r="AI314" s="52">
        <f t="shared" si="6"/>
        <v>3.4876347495244139E-2</v>
      </c>
      <c r="AJ314" s="25">
        <v>169</v>
      </c>
      <c r="AK314" s="52">
        <f t="shared" si="7"/>
        <v>3.237629810629207E-2</v>
      </c>
      <c r="AL314" s="25">
        <v>161.1</v>
      </c>
      <c r="AM314" s="52">
        <f t="shared" si="8"/>
        <v>6.8749999999999645E-3</v>
      </c>
      <c r="AN314" s="25">
        <v>164.7</v>
      </c>
      <c r="AO314" s="52">
        <f t="shared" si="9"/>
        <v>2.9374999999999929E-2</v>
      </c>
      <c r="AP314" s="25">
        <v>166.3</v>
      </c>
      <c r="AQ314" s="51">
        <f t="shared" si="10"/>
        <v>1.8995098039215827E-2</v>
      </c>
    </row>
    <row r="315" spans="1:43" hidden="1" x14ac:dyDescent="0.3">
      <c r="A315" s="25" t="s">
        <v>33</v>
      </c>
      <c r="B315" s="25">
        <v>2021</v>
      </c>
      <c r="C315" s="25" t="s">
        <v>43</v>
      </c>
      <c r="D315" s="26">
        <f>DATE(B315,MATCH(TRIM(C315),{"January","February","March","April","May","June","July","August","September","October","November","December"},0),1)</f>
        <v>44470</v>
      </c>
      <c r="E315" s="25">
        <v>150.1</v>
      </c>
      <c r="F315" s="25">
        <v>208.4</v>
      </c>
      <c r="G315" s="25">
        <v>173</v>
      </c>
      <c r="H315" s="25">
        <v>159.19999999999999</v>
      </c>
      <c r="I315" s="25">
        <v>176.6</v>
      </c>
      <c r="J315" s="25">
        <v>159.30000000000001</v>
      </c>
      <c r="K315" s="25">
        <v>214.4</v>
      </c>
      <c r="L315" s="25">
        <v>165.3</v>
      </c>
      <c r="M315" s="25">
        <v>122.5</v>
      </c>
      <c r="N315" s="25">
        <v>166.8</v>
      </c>
      <c r="O315" s="25">
        <v>155.4</v>
      </c>
      <c r="P315" s="25">
        <v>175.9</v>
      </c>
      <c r="Q315" s="25">
        <v>171.5</v>
      </c>
      <c r="R315" s="52">
        <f t="shared" si="0"/>
        <v>3.6253776435045321E-2</v>
      </c>
      <c r="S315" s="25">
        <v>197</v>
      </c>
      <c r="T315" s="52">
        <f t="shared" si="1"/>
        <v>3.0334728033472865E-2</v>
      </c>
      <c r="U315" s="25">
        <v>160.80000000000001</v>
      </c>
      <c r="V315" s="25">
        <v>144.4</v>
      </c>
      <c r="W315" s="25">
        <v>158.30000000000001</v>
      </c>
      <c r="X315" s="52">
        <f t="shared" si="2"/>
        <v>-5.9417706476530004E-2</v>
      </c>
      <c r="Y315" s="25">
        <v>163.6</v>
      </c>
      <c r="Z315" s="25">
        <v>162.19999999999999</v>
      </c>
      <c r="AA315" s="52">
        <f t="shared" si="11"/>
        <v>-1.9939577039274993E-2</v>
      </c>
      <c r="AB315" s="25">
        <v>154.30000000000001</v>
      </c>
      <c r="AC315" s="52">
        <f t="shared" si="3"/>
        <v>-4.7530864197530796E-2</v>
      </c>
      <c r="AD315" s="25">
        <v>163.5</v>
      </c>
      <c r="AE315" s="52">
        <f t="shared" si="4"/>
        <v>-5.2173913043478258E-2</v>
      </c>
      <c r="AF315" s="25">
        <v>152.19999999999999</v>
      </c>
      <c r="AG315" s="52">
        <f t="shared" si="5"/>
        <v>-4.5768025078369974E-2</v>
      </c>
      <c r="AH315" s="25">
        <v>155.1</v>
      </c>
      <c r="AI315" s="52">
        <f t="shared" si="6"/>
        <v>-4.963235294117644E-2</v>
      </c>
      <c r="AJ315" s="25">
        <v>160.30000000000001</v>
      </c>
      <c r="AK315" s="52">
        <f t="shared" si="7"/>
        <v>-5.1479289940828336E-2</v>
      </c>
      <c r="AL315" s="25">
        <v>160.30000000000001</v>
      </c>
      <c r="AM315" s="52">
        <f t="shared" si="8"/>
        <v>-4.9658597144629606E-3</v>
      </c>
      <c r="AN315" s="25">
        <v>157</v>
      </c>
      <c r="AO315" s="52">
        <f t="shared" si="9"/>
        <v>-4.6751669702489305E-2</v>
      </c>
      <c r="AP315" s="25">
        <v>164.6</v>
      </c>
      <c r="AQ315" s="51">
        <f t="shared" si="10"/>
        <v>-1.0222489476849169E-2</v>
      </c>
    </row>
    <row r="316" spans="1:43" x14ac:dyDescent="0.3">
      <c r="A316" s="25" t="s">
        <v>34</v>
      </c>
      <c r="B316" s="25">
        <v>2021</v>
      </c>
      <c r="C316" s="25" t="s">
        <v>43</v>
      </c>
      <c r="D316" s="26">
        <f>DATE(B316,MATCH(TRIM(C316),{"January","February","March","April","May","June","July","August","September","October","November","December"},0),1)</f>
        <v>44470</v>
      </c>
      <c r="E316" s="25">
        <v>147.4</v>
      </c>
      <c r="F316" s="25">
        <v>204.6</v>
      </c>
      <c r="G316" s="25">
        <v>171.2</v>
      </c>
      <c r="H316" s="25">
        <v>158.69999999999999</v>
      </c>
      <c r="I316" s="25">
        <v>190.6</v>
      </c>
      <c r="J316" s="25">
        <v>155.69999999999999</v>
      </c>
      <c r="K316" s="25">
        <v>185.3</v>
      </c>
      <c r="L316" s="25">
        <v>165.2</v>
      </c>
      <c r="M316" s="25">
        <v>121.9</v>
      </c>
      <c r="N316" s="25">
        <v>169.3</v>
      </c>
      <c r="O316" s="25">
        <v>163.19999999999999</v>
      </c>
      <c r="P316" s="25">
        <v>174.7</v>
      </c>
      <c r="Q316" s="25">
        <v>167.7</v>
      </c>
      <c r="R316" s="52">
        <f t="shared" si="0"/>
        <v>-2.2157434402332428E-2</v>
      </c>
      <c r="S316" s="25">
        <v>192.7</v>
      </c>
      <c r="T316" s="52">
        <f t="shared" si="1"/>
        <v>-2.1827411167512748E-2</v>
      </c>
      <c r="U316" s="25">
        <v>165.7</v>
      </c>
      <c r="V316" s="25">
        <v>156.30000000000001</v>
      </c>
      <c r="W316" s="25">
        <v>164.3</v>
      </c>
      <c r="X316" s="52">
        <f t="shared" si="2"/>
        <v>3.7902716361339225E-2</v>
      </c>
      <c r="Y316" s="25">
        <v>163.6</v>
      </c>
      <c r="Z316" s="25">
        <v>164.2</v>
      </c>
      <c r="AA316" s="52">
        <f t="shared" si="11"/>
        <v>1.2330456226880395E-2</v>
      </c>
      <c r="AB316" s="25">
        <v>158.4</v>
      </c>
      <c r="AC316" s="52">
        <f t="shared" si="3"/>
        <v>2.6571613739468529E-2</v>
      </c>
      <c r="AD316" s="25">
        <v>169.1</v>
      </c>
      <c r="AE316" s="52">
        <f t="shared" si="4"/>
        <v>3.4250764525993849E-2</v>
      </c>
      <c r="AF316" s="25">
        <v>155.69999999999999</v>
      </c>
      <c r="AG316" s="52">
        <f t="shared" si="5"/>
        <v>2.2996057818659661E-2</v>
      </c>
      <c r="AH316" s="25">
        <v>158.6</v>
      </c>
      <c r="AI316" s="52">
        <f t="shared" si="6"/>
        <v>2.2566086395873632E-2</v>
      </c>
      <c r="AJ316" s="25">
        <v>163.9</v>
      </c>
      <c r="AK316" s="52">
        <f t="shared" si="7"/>
        <v>2.2457891453524604E-2</v>
      </c>
      <c r="AL316" s="25">
        <v>160.80000000000001</v>
      </c>
      <c r="AM316" s="52">
        <f t="shared" si="8"/>
        <v>3.1191515907673111E-3</v>
      </c>
      <c r="AN316" s="25">
        <v>161</v>
      </c>
      <c r="AO316" s="52">
        <f t="shared" si="9"/>
        <v>2.5477707006369428E-2</v>
      </c>
      <c r="AP316" s="25">
        <v>165.5</v>
      </c>
      <c r="AQ316" s="51">
        <f t="shared" si="10"/>
        <v>5.4678007290401322E-3</v>
      </c>
    </row>
    <row r="317" spans="1:43" hidden="1" x14ac:dyDescent="0.3">
      <c r="A317" s="25" t="s">
        <v>30</v>
      </c>
      <c r="B317" s="25">
        <v>2021</v>
      </c>
      <c r="C317" s="25" t="s">
        <v>45</v>
      </c>
      <c r="D317" s="26">
        <f>DATE(B317,MATCH(TRIM(C317),{"January","February","March","April","May","June","July","August","September","October","November","December"},0),1)</f>
        <v>44501</v>
      </c>
      <c r="E317" s="25">
        <v>146.9</v>
      </c>
      <c r="F317" s="25">
        <v>199.8</v>
      </c>
      <c r="G317" s="25">
        <v>171.5</v>
      </c>
      <c r="H317" s="25">
        <v>159.1</v>
      </c>
      <c r="I317" s="25">
        <v>198.4</v>
      </c>
      <c r="J317" s="25">
        <v>153.19999999999999</v>
      </c>
      <c r="K317" s="25">
        <v>183.9</v>
      </c>
      <c r="L317" s="25">
        <v>165.4</v>
      </c>
      <c r="M317" s="25">
        <v>122.1</v>
      </c>
      <c r="N317" s="25">
        <v>170.8</v>
      </c>
      <c r="O317" s="25">
        <v>169.1</v>
      </c>
      <c r="P317" s="25">
        <v>174.3</v>
      </c>
      <c r="Q317" s="25">
        <v>167.5</v>
      </c>
      <c r="R317" s="52">
        <f t="shared" si="0"/>
        <v>-1.1926058437685667E-3</v>
      </c>
      <c r="S317" s="25">
        <v>191.4</v>
      </c>
      <c r="T317" s="52">
        <f t="shared" si="1"/>
        <v>-6.746237675142621E-3</v>
      </c>
      <c r="U317" s="25">
        <v>170.4</v>
      </c>
      <c r="V317" s="25">
        <v>166</v>
      </c>
      <c r="W317" s="25">
        <v>169.8</v>
      </c>
      <c r="X317" s="52">
        <f t="shared" si="2"/>
        <v>3.3475349969567858E-2</v>
      </c>
      <c r="Y317" s="25" t="s">
        <v>32</v>
      </c>
      <c r="Z317" s="25">
        <v>165.3</v>
      </c>
      <c r="AA317" s="52">
        <f t="shared" si="11"/>
        <v>6.6991473812425262E-3</v>
      </c>
      <c r="AB317" s="25">
        <v>162.9</v>
      </c>
      <c r="AC317" s="52">
        <f t="shared" si="3"/>
        <v>2.8409090909090908E-2</v>
      </c>
      <c r="AD317" s="25">
        <v>173.4</v>
      </c>
      <c r="AE317" s="52">
        <f t="shared" si="4"/>
        <v>2.5428740390301664E-2</v>
      </c>
      <c r="AF317" s="25">
        <v>158.9</v>
      </c>
      <c r="AG317" s="52">
        <f t="shared" si="5"/>
        <v>2.0552344251766327E-2</v>
      </c>
      <c r="AH317" s="25">
        <v>163.80000000000001</v>
      </c>
      <c r="AI317" s="52">
        <f t="shared" si="6"/>
        <v>3.2786885245901745E-2</v>
      </c>
      <c r="AJ317" s="25">
        <v>169.3</v>
      </c>
      <c r="AK317" s="52">
        <f t="shared" si="7"/>
        <v>3.2946918852959153E-2</v>
      </c>
      <c r="AL317" s="25">
        <v>162.4</v>
      </c>
      <c r="AM317" s="52">
        <f t="shared" si="8"/>
        <v>9.9502487562188689E-3</v>
      </c>
      <c r="AN317" s="25">
        <v>165.2</v>
      </c>
      <c r="AO317" s="52">
        <f t="shared" si="9"/>
        <v>2.608695652173906E-2</v>
      </c>
      <c r="AP317" s="25">
        <v>167.6</v>
      </c>
      <c r="AQ317" s="51">
        <f t="shared" si="10"/>
        <v>1.2688821752265827E-2</v>
      </c>
    </row>
    <row r="318" spans="1:43" hidden="1" x14ac:dyDescent="0.3">
      <c r="A318" s="25" t="s">
        <v>33</v>
      </c>
      <c r="B318" s="25">
        <v>2021</v>
      </c>
      <c r="C318" s="25" t="s">
        <v>45</v>
      </c>
      <c r="D318" s="26">
        <f>DATE(B318,MATCH(TRIM(C318),{"January","February","March","April","May","June","July","August","September","October","November","December"},0),1)</f>
        <v>44501</v>
      </c>
      <c r="E318" s="25">
        <v>151</v>
      </c>
      <c r="F318" s="25">
        <v>204.9</v>
      </c>
      <c r="G318" s="25">
        <v>175.4</v>
      </c>
      <c r="H318" s="25">
        <v>159.6</v>
      </c>
      <c r="I318" s="25">
        <v>175.8</v>
      </c>
      <c r="J318" s="25">
        <v>160.30000000000001</v>
      </c>
      <c r="K318" s="25">
        <v>229.1</v>
      </c>
      <c r="L318" s="25">
        <v>165.1</v>
      </c>
      <c r="M318" s="25">
        <v>123.1</v>
      </c>
      <c r="N318" s="25">
        <v>167.2</v>
      </c>
      <c r="O318" s="25">
        <v>156.1</v>
      </c>
      <c r="P318" s="25">
        <v>176.8</v>
      </c>
      <c r="Q318" s="25">
        <v>173.5</v>
      </c>
      <c r="R318" s="52">
        <f t="shared" si="0"/>
        <v>3.5820895522388062E-2</v>
      </c>
      <c r="S318" s="25">
        <v>197</v>
      </c>
      <c r="T318" s="52">
        <f t="shared" si="1"/>
        <v>2.9258098223615435E-2</v>
      </c>
      <c r="U318" s="25">
        <v>162.30000000000001</v>
      </c>
      <c r="V318" s="25">
        <v>145.30000000000001</v>
      </c>
      <c r="W318" s="25">
        <v>159.69999999999999</v>
      </c>
      <c r="X318" s="52">
        <f t="shared" si="2"/>
        <v>-5.9481743227326397E-2</v>
      </c>
      <c r="Y318" s="25">
        <v>164.2</v>
      </c>
      <c r="Z318" s="25">
        <v>161.6</v>
      </c>
      <c r="AA318" s="52">
        <f t="shared" si="11"/>
        <v>-2.238354506957058E-2</v>
      </c>
      <c r="AB318" s="25">
        <v>155.19999999999999</v>
      </c>
      <c r="AC318" s="52">
        <f t="shared" si="3"/>
        <v>-4.7268262737876099E-2</v>
      </c>
      <c r="AD318" s="25">
        <v>164.2</v>
      </c>
      <c r="AE318" s="52">
        <f t="shared" si="4"/>
        <v>-5.3056516724336887E-2</v>
      </c>
      <c r="AF318" s="25">
        <v>151.19999999999999</v>
      </c>
      <c r="AG318" s="52">
        <f t="shared" si="5"/>
        <v>-4.8458149779735789E-2</v>
      </c>
      <c r="AH318" s="25">
        <v>156.69999999999999</v>
      </c>
      <c r="AI318" s="52">
        <f t="shared" si="6"/>
        <v>-4.3345543345543483E-2</v>
      </c>
      <c r="AJ318" s="25">
        <v>160.80000000000001</v>
      </c>
      <c r="AK318" s="52">
        <f t="shared" si="7"/>
        <v>-5.0206733608978142E-2</v>
      </c>
      <c r="AL318" s="25">
        <v>161.80000000000001</v>
      </c>
      <c r="AM318" s="52">
        <f t="shared" si="8"/>
        <v>-3.694581280788142E-3</v>
      </c>
      <c r="AN318" s="25">
        <v>157.30000000000001</v>
      </c>
      <c r="AO318" s="52">
        <f t="shared" si="9"/>
        <v>-4.7820823244551926E-2</v>
      </c>
      <c r="AP318" s="25">
        <v>165.6</v>
      </c>
      <c r="AQ318" s="51">
        <f t="shared" si="10"/>
        <v>-1.1933174224343675E-2</v>
      </c>
    </row>
    <row r="319" spans="1:43" x14ac:dyDescent="0.3">
      <c r="A319" s="25" t="s">
        <v>34</v>
      </c>
      <c r="B319" s="25">
        <v>2021</v>
      </c>
      <c r="C319" s="25" t="s">
        <v>45</v>
      </c>
      <c r="D319" s="26">
        <f>DATE(B319,MATCH(TRIM(C319),{"January","February","March","April","May","June","July","August","September","October","November","December"},0),1)</f>
        <v>44501</v>
      </c>
      <c r="E319" s="25">
        <v>148.19999999999999</v>
      </c>
      <c r="F319" s="25">
        <v>201.6</v>
      </c>
      <c r="G319" s="25">
        <v>173</v>
      </c>
      <c r="H319" s="25">
        <v>159.30000000000001</v>
      </c>
      <c r="I319" s="25">
        <v>190.1</v>
      </c>
      <c r="J319" s="25">
        <v>156.5</v>
      </c>
      <c r="K319" s="25">
        <v>199.2</v>
      </c>
      <c r="L319" s="25">
        <v>165.3</v>
      </c>
      <c r="M319" s="25">
        <v>122.4</v>
      </c>
      <c r="N319" s="25">
        <v>169.6</v>
      </c>
      <c r="O319" s="25">
        <v>163.69999999999999</v>
      </c>
      <c r="P319" s="25">
        <v>175.5</v>
      </c>
      <c r="Q319" s="25">
        <v>169.7</v>
      </c>
      <c r="R319" s="52">
        <f t="shared" si="0"/>
        <v>-2.1902017291066347E-2</v>
      </c>
      <c r="S319" s="25">
        <v>192.9</v>
      </c>
      <c r="T319" s="52">
        <f t="shared" si="1"/>
        <v>-2.0812182741116722E-2</v>
      </c>
      <c r="U319" s="25">
        <v>167.2</v>
      </c>
      <c r="V319" s="25">
        <v>157.4</v>
      </c>
      <c r="W319" s="25">
        <v>165.8</v>
      </c>
      <c r="X319" s="52">
        <f t="shared" si="2"/>
        <v>3.8196618659987622E-2</v>
      </c>
      <c r="Y319" s="25">
        <v>164.2</v>
      </c>
      <c r="Z319" s="25">
        <v>163.9</v>
      </c>
      <c r="AA319" s="52">
        <f t="shared" si="11"/>
        <v>1.4232673267326804E-2</v>
      </c>
      <c r="AB319" s="25">
        <v>159.30000000000001</v>
      </c>
      <c r="AC319" s="52">
        <f t="shared" si="3"/>
        <v>2.6417525773196025E-2</v>
      </c>
      <c r="AD319" s="25">
        <v>169.9</v>
      </c>
      <c r="AE319" s="52">
        <f t="shared" si="4"/>
        <v>3.4713763702801569E-2</v>
      </c>
      <c r="AF319" s="25">
        <v>154.80000000000001</v>
      </c>
      <c r="AG319" s="52">
        <f t="shared" si="5"/>
        <v>2.3809523809523961E-2</v>
      </c>
      <c r="AH319" s="25">
        <v>159.80000000000001</v>
      </c>
      <c r="AI319" s="52">
        <f t="shared" si="6"/>
        <v>1.978302488832178E-2</v>
      </c>
      <c r="AJ319" s="25">
        <v>164.3</v>
      </c>
      <c r="AK319" s="52">
        <f t="shared" si="7"/>
        <v>2.1766169154228854E-2</v>
      </c>
      <c r="AL319" s="25">
        <v>162.19999999999999</v>
      </c>
      <c r="AM319" s="52">
        <f t="shared" si="8"/>
        <v>2.4721878862792165E-3</v>
      </c>
      <c r="AN319" s="25">
        <v>161.4</v>
      </c>
      <c r="AO319" s="52">
        <f t="shared" si="9"/>
        <v>2.6064844246662392E-2</v>
      </c>
      <c r="AP319" s="25">
        <v>166.7</v>
      </c>
      <c r="AQ319" s="51">
        <f t="shared" si="10"/>
        <v>6.6425120772946522E-3</v>
      </c>
    </row>
    <row r="320" spans="1:43" hidden="1" x14ac:dyDescent="0.3">
      <c r="A320" s="25" t="s">
        <v>30</v>
      </c>
      <c r="B320" s="25">
        <v>2021</v>
      </c>
      <c r="C320" s="25" t="s">
        <v>46</v>
      </c>
      <c r="D320" s="26">
        <f>DATE(B320,MATCH(TRIM(C320),{"January","February","March","April","May","June","July","August","September","October","November","December"},0),1)</f>
        <v>44531</v>
      </c>
      <c r="E320" s="25">
        <v>147.4</v>
      </c>
      <c r="F320" s="25">
        <v>197</v>
      </c>
      <c r="G320" s="25">
        <v>176.5</v>
      </c>
      <c r="H320" s="25">
        <v>159.80000000000001</v>
      </c>
      <c r="I320" s="25">
        <v>195.8</v>
      </c>
      <c r="J320" s="25">
        <v>152</v>
      </c>
      <c r="K320" s="25">
        <v>172.3</v>
      </c>
      <c r="L320" s="25">
        <v>164.5</v>
      </c>
      <c r="M320" s="25">
        <v>120.6</v>
      </c>
      <c r="N320" s="25">
        <v>171.7</v>
      </c>
      <c r="O320" s="25">
        <v>169.7</v>
      </c>
      <c r="P320" s="25">
        <v>175.1</v>
      </c>
      <c r="Q320" s="25">
        <v>165.8</v>
      </c>
      <c r="R320" s="52">
        <f t="shared" si="0"/>
        <v>-2.2981732469062922E-2</v>
      </c>
      <c r="S320" s="25">
        <v>190.8</v>
      </c>
      <c r="T320" s="52">
        <f t="shared" si="1"/>
        <v>-1.0886469673405881E-2</v>
      </c>
      <c r="U320" s="25">
        <v>171.8</v>
      </c>
      <c r="V320" s="25">
        <v>167.3</v>
      </c>
      <c r="W320" s="25">
        <v>171.2</v>
      </c>
      <c r="X320" s="52">
        <f t="shared" si="2"/>
        <v>3.2569360675512526E-2</v>
      </c>
      <c r="Y320" s="25" t="s">
        <v>32</v>
      </c>
      <c r="Z320" s="25">
        <v>165.6</v>
      </c>
      <c r="AA320" s="52">
        <f t="shared" si="11"/>
        <v>1.0372178157412986E-2</v>
      </c>
      <c r="AB320" s="25">
        <v>163.9</v>
      </c>
      <c r="AC320" s="52">
        <f t="shared" si="3"/>
        <v>2.8876333961079685E-2</v>
      </c>
      <c r="AD320" s="25">
        <v>174</v>
      </c>
      <c r="AE320" s="52">
        <f t="shared" si="4"/>
        <v>2.4131842260152997E-2</v>
      </c>
      <c r="AF320" s="25">
        <v>160.1</v>
      </c>
      <c r="AG320" s="52">
        <f t="shared" si="5"/>
        <v>3.4237726098191104E-2</v>
      </c>
      <c r="AH320" s="25">
        <v>164.5</v>
      </c>
      <c r="AI320" s="52">
        <f t="shared" si="6"/>
        <v>2.941176470588228E-2</v>
      </c>
      <c r="AJ320" s="25">
        <v>169.7</v>
      </c>
      <c r="AK320" s="52">
        <f t="shared" si="7"/>
        <v>3.2866707242848306E-2</v>
      </c>
      <c r="AL320" s="25">
        <v>162.80000000000001</v>
      </c>
      <c r="AM320" s="52">
        <f t="shared" si="8"/>
        <v>3.6991368680642589E-3</v>
      </c>
      <c r="AN320" s="25">
        <v>166</v>
      </c>
      <c r="AO320" s="52">
        <f t="shared" si="9"/>
        <v>2.8500619578686458E-2</v>
      </c>
      <c r="AP320" s="25">
        <v>167</v>
      </c>
      <c r="AQ320" s="51">
        <f t="shared" si="10"/>
        <v>1.7996400719856713E-3</v>
      </c>
    </row>
    <row r="321" spans="1:43" hidden="1" x14ac:dyDescent="0.3">
      <c r="A321" s="25" t="s">
        <v>33</v>
      </c>
      <c r="B321" s="25">
        <v>2021</v>
      </c>
      <c r="C321" s="25" t="s">
        <v>46</v>
      </c>
      <c r="D321" s="26">
        <f>DATE(B321,MATCH(TRIM(C321),{"January","February","March","April","May","June","July","August","September","October","November","December"},0),1)</f>
        <v>44531</v>
      </c>
      <c r="E321" s="25">
        <v>151.6</v>
      </c>
      <c r="F321" s="25">
        <v>202.2</v>
      </c>
      <c r="G321" s="25">
        <v>180</v>
      </c>
      <c r="H321" s="25">
        <v>160</v>
      </c>
      <c r="I321" s="25">
        <v>173.5</v>
      </c>
      <c r="J321" s="25">
        <v>158.30000000000001</v>
      </c>
      <c r="K321" s="25">
        <v>219.5</v>
      </c>
      <c r="L321" s="25">
        <v>164.2</v>
      </c>
      <c r="M321" s="25">
        <v>121.9</v>
      </c>
      <c r="N321" s="25">
        <v>168.2</v>
      </c>
      <c r="O321" s="25">
        <v>156.5</v>
      </c>
      <c r="P321" s="25">
        <v>178.2</v>
      </c>
      <c r="Q321" s="25">
        <v>172.2</v>
      </c>
      <c r="R321" s="52">
        <f t="shared" si="0"/>
        <v>3.8600723763570426E-2</v>
      </c>
      <c r="S321" s="25">
        <v>196.8</v>
      </c>
      <c r="T321" s="52">
        <f t="shared" si="1"/>
        <v>3.1446540880503145E-2</v>
      </c>
      <c r="U321" s="25">
        <v>163.30000000000001</v>
      </c>
      <c r="V321" s="25">
        <v>146.69999999999999</v>
      </c>
      <c r="W321" s="25">
        <v>160.69999999999999</v>
      </c>
      <c r="X321" s="52">
        <f t="shared" si="2"/>
        <v>-6.1331775700934586E-2</v>
      </c>
      <c r="Y321" s="25">
        <v>163.4</v>
      </c>
      <c r="Z321" s="25">
        <v>161.69999999999999</v>
      </c>
      <c r="AA321" s="52">
        <f t="shared" si="11"/>
        <v>-2.3550724637681195E-2</v>
      </c>
      <c r="AB321" s="25">
        <v>156</v>
      </c>
      <c r="AC321" s="52">
        <f t="shared" si="3"/>
        <v>-4.8200122025625416E-2</v>
      </c>
      <c r="AD321" s="25">
        <v>165.1</v>
      </c>
      <c r="AE321" s="52">
        <f t="shared" si="4"/>
        <v>-5.1149425287356352E-2</v>
      </c>
      <c r="AF321" s="25">
        <v>151.80000000000001</v>
      </c>
      <c r="AG321" s="52">
        <f t="shared" si="5"/>
        <v>-5.1842598376014883E-2</v>
      </c>
      <c r="AH321" s="25">
        <v>157.6</v>
      </c>
      <c r="AI321" s="52">
        <f t="shared" si="6"/>
        <v>-4.194528875379943E-2</v>
      </c>
      <c r="AJ321" s="25">
        <v>160.6</v>
      </c>
      <c r="AK321" s="52">
        <f t="shared" si="7"/>
        <v>-5.362404242781376E-2</v>
      </c>
      <c r="AL321" s="25">
        <v>162.4</v>
      </c>
      <c r="AM321" s="52">
        <f t="shared" si="8"/>
        <v>-2.4570024570024916E-3</v>
      </c>
      <c r="AN321" s="25">
        <v>157.80000000000001</v>
      </c>
      <c r="AO321" s="52">
        <f t="shared" si="9"/>
        <v>-4.9397590361445712E-2</v>
      </c>
      <c r="AP321" s="25">
        <v>165.2</v>
      </c>
      <c r="AQ321" s="51">
        <f t="shared" si="10"/>
        <v>-1.0778443113772523E-2</v>
      </c>
    </row>
    <row r="322" spans="1:43" x14ac:dyDescent="0.3">
      <c r="A322" s="25" t="s">
        <v>34</v>
      </c>
      <c r="B322" s="25">
        <v>2021</v>
      </c>
      <c r="C322" s="25" t="s">
        <v>46</v>
      </c>
      <c r="D322" s="26">
        <f>DATE(B322,MATCH(TRIM(C322),{"January","February","March","April","May","June","July","August","September","October","November","December"},0),1)</f>
        <v>44531</v>
      </c>
      <c r="E322" s="25">
        <v>148.69999999999999</v>
      </c>
      <c r="F322" s="25">
        <v>198.8</v>
      </c>
      <c r="G322" s="25">
        <v>177.9</v>
      </c>
      <c r="H322" s="25">
        <v>159.9</v>
      </c>
      <c r="I322" s="25">
        <v>187.6</v>
      </c>
      <c r="J322" s="25">
        <v>154.9</v>
      </c>
      <c r="K322" s="25">
        <v>188.3</v>
      </c>
      <c r="L322" s="25">
        <v>164.4</v>
      </c>
      <c r="M322" s="25">
        <v>121</v>
      </c>
      <c r="N322" s="25">
        <v>170.5</v>
      </c>
      <c r="O322" s="25">
        <v>164.2</v>
      </c>
      <c r="P322" s="25">
        <v>176.5</v>
      </c>
      <c r="Q322" s="25">
        <v>168.2</v>
      </c>
      <c r="R322" s="52">
        <f t="shared" si="0"/>
        <v>-2.3228803716608595E-2</v>
      </c>
      <c r="S322" s="25">
        <v>192.4</v>
      </c>
      <c r="T322" s="52">
        <f t="shared" si="1"/>
        <v>-2.23577235772358E-2</v>
      </c>
      <c r="U322" s="25">
        <v>168.5</v>
      </c>
      <c r="V322" s="25">
        <v>158.69999999999999</v>
      </c>
      <c r="W322" s="25">
        <v>167</v>
      </c>
      <c r="X322" s="52">
        <f t="shared" si="2"/>
        <v>3.9203484754200449E-2</v>
      </c>
      <c r="Y322" s="25">
        <v>163.4</v>
      </c>
      <c r="Z322" s="25">
        <v>164.1</v>
      </c>
      <c r="AA322" s="52">
        <f t="shared" si="11"/>
        <v>1.4842300556586308E-2</v>
      </c>
      <c r="AB322" s="25">
        <v>160.19999999999999</v>
      </c>
      <c r="AC322" s="52">
        <f t="shared" si="3"/>
        <v>2.6923076923076852E-2</v>
      </c>
      <c r="AD322" s="25">
        <v>170.6</v>
      </c>
      <c r="AE322" s="52">
        <f t="shared" si="4"/>
        <v>3.3313143549364023E-2</v>
      </c>
      <c r="AF322" s="25">
        <v>155.69999999999999</v>
      </c>
      <c r="AG322" s="52">
        <f t="shared" si="5"/>
        <v>2.5691699604742931E-2</v>
      </c>
      <c r="AH322" s="25">
        <v>160.6</v>
      </c>
      <c r="AI322" s="52">
        <f t="shared" si="6"/>
        <v>1.9035532994923859E-2</v>
      </c>
      <c r="AJ322" s="25">
        <v>164.4</v>
      </c>
      <c r="AK322" s="52">
        <f t="shared" si="7"/>
        <v>2.3661270236612773E-2</v>
      </c>
      <c r="AL322" s="25">
        <v>162.6</v>
      </c>
      <c r="AM322" s="52">
        <f t="shared" si="8"/>
        <v>1.2315270935959891E-3</v>
      </c>
      <c r="AN322" s="25">
        <v>162</v>
      </c>
      <c r="AO322" s="52">
        <f t="shared" si="9"/>
        <v>2.6615969581748975E-2</v>
      </c>
      <c r="AP322" s="25">
        <v>166.2</v>
      </c>
      <c r="AQ322" s="51">
        <f t="shared" si="10"/>
        <v>6.0532687651331726E-3</v>
      </c>
    </row>
    <row r="323" spans="1:43" hidden="1" x14ac:dyDescent="0.3">
      <c r="A323" s="25" t="s">
        <v>30</v>
      </c>
      <c r="B323" s="25">
        <v>2022</v>
      </c>
      <c r="C323" s="25" t="s">
        <v>31</v>
      </c>
      <c r="D323" s="26">
        <f>DATE(B323,MATCH(TRIM(C323),{"January","February","March","April","May","June","July","August","September","October","November","December"},0),1)</f>
        <v>44562</v>
      </c>
      <c r="E323" s="25">
        <v>148.30000000000001</v>
      </c>
      <c r="F323" s="25">
        <v>196.9</v>
      </c>
      <c r="G323" s="25">
        <v>178</v>
      </c>
      <c r="H323" s="25">
        <v>160.5</v>
      </c>
      <c r="I323" s="25">
        <v>192.6</v>
      </c>
      <c r="J323" s="25">
        <v>151.19999999999999</v>
      </c>
      <c r="K323" s="25">
        <v>159.19999999999999</v>
      </c>
      <c r="L323" s="25">
        <v>164</v>
      </c>
      <c r="M323" s="25">
        <v>119.3</v>
      </c>
      <c r="N323" s="25">
        <v>173.3</v>
      </c>
      <c r="O323" s="25">
        <v>169.8</v>
      </c>
      <c r="P323" s="25">
        <v>175.8</v>
      </c>
      <c r="Q323" s="25">
        <v>164.1</v>
      </c>
      <c r="R323" s="52">
        <f t="shared" si="0"/>
        <v>-2.4375743162901274E-2</v>
      </c>
      <c r="S323" s="25">
        <v>190.7</v>
      </c>
      <c r="T323" s="52">
        <f t="shared" si="1"/>
        <v>-8.8357588357589247E-3</v>
      </c>
      <c r="U323" s="25">
        <v>173.2</v>
      </c>
      <c r="V323" s="25">
        <v>169.3</v>
      </c>
      <c r="W323" s="25">
        <v>172.7</v>
      </c>
      <c r="X323" s="52">
        <f t="shared" si="2"/>
        <v>3.4131736526946038E-2</v>
      </c>
      <c r="Y323" s="25" t="s">
        <v>32</v>
      </c>
      <c r="Z323" s="25">
        <v>165.8</v>
      </c>
      <c r="AA323" s="52">
        <f t="shared" si="11"/>
        <v>1.0359536867763664E-2</v>
      </c>
      <c r="AB323" s="25">
        <v>164.9</v>
      </c>
      <c r="AC323" s="52">
        <f t="shared" si="3"/>
        <v>2.933832709113619E-2</v>
      </c>
      <c r="AD323" s="25">
        <v>174.7</v>
      </c>
      <c r="AE323" s="52">
        <f t="shared" si="4"/>
        <v>2.4032825322391527E-2</v>
      </c>
      <c r="AF323" s="25">
        <v>160.80000000000001</v>
      </c>
      <c r="AG323" s="52">
        <f t="shared" si="5"/>
        <v>3.2755298651252554E-2</v>
      </c>
      <c r="AH323" s="25">
        <v>164.9</v>
      </c>
      <c r="AI323" s="52">
        <f t="shared" si="6"/>
        <v>2.6774595267746025E-2</v>
      </c>
      <c r="AJ323" s="25">
        <v>169.9</v>
      </c>
      <c r="AK323" s="52">
        <f t="shared" si="7"/>
        <v>3.3454987834549879E-2</v>
      </c>
      <c r="AL323" s="25">
        <v>163.19999999999999</v>
      </c>
      <c r="AM323" s="52">
        <f t="shared" si="8"/>
        <v>3.6900369003689689E-3</v>
      </c>
      <c r="AN323" s="25">
        <v>166.6</v>
      </c>
      <c r="AO323" s="52">
        <f t="shared" si="9"/>
        <v>2.8395061728395028E-2</v>
      </c>
      <c r="AP323" s="25">
        <v>166.4</v>
      </c>
      <c r="AQ323" s="51">
        <f t="shared" si="10"/>
        <v>1.2033694344164684E-3</v>
      </c>
    </row>
    <row r="324" spans="1:43" hidden="1" x14ac:dyDescent="0.3">
      <c r="A324" s="25" t="s">
        <v>33</v>
      </c>
      <c r="B324" s="25">
        <v>2022</v>
      </c>
      <c r="C324" s="25" t="s">
        <v>31</v>
      </c>
      <c r="D324" s="26">
        <f>DATE(B324,MATCH(TRIM(C324),{"January","February","March","April","May","June","July","August","September","October","November","December"},0),1)</f>
        <v>44562</v>
      </c>
      <c r="E324" s="25">
        <v>152.19999999999999</v>
      </c>
      <c r="F324" s="25">
        <v>202.1</v>
      </c>
      <c r="G324" s="25">
        <v>180.1</v>
      </c>
      <c r="H324" s="25">
        <v>160.4</v>
      </c>
      <c r="I324" s="25">
        <v>171</v>
      </c>
      <c r="J324" s="25">
        <v>156.5</v>
      </c>
      <c r="K324" s="25">
        <v>203.6</v>
      </c>
      <c r="L324" s="25">
        <v>163.80000000000001</v>
      </c>
      <c r="M324" s="25">
        <v>121.3</v>
      </c>
      <c r="N324" s="25">
        <v>169.8</v>
      </c>
      <c r="O324" s="25">
        <v>156.6</v>
      </c>
      <c r="P324" s="25">
        <v>179</v>
      </c>
      <c r="Q324" s="25">
        <v>170.3</v>
      </c>
      <c r="R324" s="52">
        <f t="shared" si="0"/>
        <v>3.7781840341255438E-2</v>
      </c>
      <c r="S324" s="25">
        <v>196.4</v>
      </c>
      <c r="T324" s="52">
        <f t="shared" si="1"/>
        <v>2.9889879391714825E-2</v>
      </c>
      <c r="U324" s="25">
        <v>164.7</v>
      </c>
      <c r="V324" s="25">
        <v>148.5</v>
      </c>
      <c r="W324" s="25">
        <v>162.19999999999999</v>
      </c>
      <c r="X324" s="52">
        <f t="shared" si="2"/>
        <v>-6.0799073537927045E-2</v>
      </c>
      <c r="Y324" s="25">
        <v>164.5</v>
      </c>
      <c r="Z324" s="25">
        <v>161.6</v>
      </c>
      <c r="AA324" s="52">
        <f t="shared" si="11"/>
        <v>-2.5331724969843285E-2</v>
      </c>
      <c r="AB324" s="25">
        <v>156.80000000000001</v>
      </c>
      <c r="AC324" s="52">
        <f t="shared" si="3"/>
        <v>-4.9120679199514822E-2</v>
      </c>
      <c r="AD324" s="25">
        <v>166.1</v>
      </c>
      <c r="AE324" s="52">
        <f t="shared" si="4"/>
        <v>-4.9227246708643362E-2</v>
      </c>
      <c r="AF324" s="25">
        <v>152.69999999999999</v>
      </c>
      <c r="AG324" s="52">
        <f t="shared" si="5"/>
        <v>-5.0373134328358347E-2</v>
      </c>
      <c r="AH324" s="25">
        <v>158.4</v>
      </c>
      <c r="AI324" s="52">
        <f t="shared" si="6"/>
        <v>-3.9417828987265008E-2</v>
      </c>
      <c r="AJ324" s="25">
        <v>161</v>
      </c>
      <c r="AK324" s="52">
        <f t="shared" si="7"/>
        <v>-5.2383755150088321E-2</v>
      </c>
      <c r="AL324" s="25">
        <v>162.80000000000001</v>
      </c>
      <c r="AM324" s="52">
        <f t="shared" si="8"/>
        <v>-2.4509803921567235E-3</v>
      </c>
      <c r="AN324" s="25">
        <v>158.6</v>
      </c>
      <c r="AO324" s="52">
        <f t="shared" si="9"/>
        <v>-4.8019207683073231E-2</v>
      </c>
      <c r="AP324" s="25">
        <v>165</v>
      </c>
      <c r="AQ324" s="51">
        <f t="shared" si="10"/>
        <v>-8.4134615384615728E-3</v>
      </c>
    </row>
    <row r="325" spans="1:43" x14ac:dyDescent="0.3">
      <c r="A325" s="25" t="s">
        <v>34</v>
      </c>
      <c r="B325" s="25">
        <v>2022</v>
      </c>
      <c r="C325" s="25" t="s">
        <v>31</v>
      </c>
      <c r="D325" s="26">
        <f>DATE(B325,MATCH(TRIM(C325),{"January","February","March","April","May","June","July","August","September","October","November","December"},0),1)</f>
        <v>44562</v>
      </c>
      <c r="E325" s="25">
        <v>149.5</v>
      </c>
      <c r="F325" s="25">
        <v>198.7</v>
      </c>
      <c r="G325" s="25">
        <v>178.8</v>
      </c>
      <c r="H325" s="25">
        <v>160.5</v>
      </c>
      <c r="I325" s="25">
        <v>184.7</v>
      </c>
      <c r="J325" s="25">
        <v>153.69999999999999</v>
      </c>
      <c r="K325" s="25">
        <v>174.3</v>
      </c>
      <c r="L325" s="25">
        <v>163.9</v>
      </c>
      <c r="M325" s="25">
        <v>120</v>
      </c>
      <c r="N325" s="25">
        <v>172.1</v>
      </c>
      <c r="O325" s="25">
        <v>164.3</v>
      </c>
      <c r="P325" s="25">
        <v>177.3</v>
      </c>
      <c r="Q325" s="25">
        <v>166.4</v>
      </c>
      <c r="R325" s="52">
        <f t="shared" si="0"/>
        <v>-2.2900763358778657E-2</v>
      </c>
      <c r="S325" s="25">
        <v>192.2</v>
      </c>
      <c r="T325" s="52">
        <f t="shared" si="1"/>
        <v>-2.1384928716904363E-2</v>
      </c>
      <c r="U325" s="25">
        <v>169.9</v>
      </c>
      <c r="V325" s="25">
        <v>160.69999999999999</v>
      </c>
      <c r="W325" s="25">
        <v>168.5</v>
      </c>
      <c r="X325" s="52">
        <f t="shared" si="2"/>
        <v>3.8840937114673318E-2</v>
      </c>
      <c r="Y325" s="25">
        <v>164.5</v>
      </c>
      <c r="Z325" s="25">
        <v>164.2</v>
      </c>
      <c r="AA325" s="52">
        <f t="shared" si="11"/>
        <v>1.6089108910891055E-2</v>
      </c>
      <c r="AB325" s="25">
        <v>161.1</v>
      </c>
      <c r="AC325" s="52">
        <f t="shared" si="3"/>
        <v>2.742346938775499E-2</v>
      </c>
      <c r="AD325" s="25">
        <v>171.4</v>
      </c>
      <c r="AE325" s="52">
        <f t="shared" si="4"/>
        <v>3.1908488862131316E-2</v>
      </c>
      <c r="AF325" s="25">
        <v>156.5</v>
      </c>
      <c r="AG325" s="52">
        <f t="shared" si="5"/>
        <v>2.4885396201702763E-2</v>
      </c>
      <c r="AH325" s="25">
        <v>161.19999999999999</v>
      </c>
      <c r="AI325" s="52">
        <f t="shared" si="6"/>
        <v>1.7676767676767569E-2</v>
      </c>
      <c r="AJ325" s="25">
        <v>164.7</v>
      </c>
      <c r="AK325" s="52">
        <f t="shared" si="7"/>
        <v>2.2981366459627259E-2</v>
      </c>
      <c r="AL325" s="25">
        <v>163</v>
      </c>
      <c r="AM325" s="52">
        <f t="shared" si="8"/>
        <v>1.2285012285011586E-3</v>
      </c>
      <c r="AN325" s="25">
        <v>162.69999999999999</v>
      </c>
      <c r="AO325" s="52">
        <f t="shared" si="9"/>
        <v>2.5851197982345489E-2</v>
      </c>
      <c r="AP325" s="25">
        <v>165.7</v>
      </c>
      <c r="AQ325" s="51">
        <f t="shared" si="10"/>
        <v>4.2424242424241735E-3</v>
      </c>
    </row>
    <row r="326" spans="1:43" hidden="1" x14ac:dyDescent="0.3">
      <c r="A326" s="25" t="s">
        <v>30</v>
      </c>
      <c r="B326" s="25">
        <v>2022</v>
      </c>
      <c r="C326" s="25" t="s">
        <v>35</v>
      </c>
      <c r="D326" s="26">
        <f>DATE(B326,MATCH(TRIM(C326),{"January","February","March","April","May","June","July","August","September","October","November","December"},0),1)</f>
        <v>44593</v>
      </c>
      <c r="E326" s="25">
        <v>148.80000000000001</v>
      </c>
      <c r="F326" s="25">
        <v>198.1</v>
      </c>
      <c r="G326" s="25">
        <v>175.5</v>
      </c>
      <c r="H326" s="25">
        <v>160.69999999999999</v>
      </c>
      <c r="I326" s="25">
        <v>192.6</v>
      </c>
      <c r="J326" s="25">
        <v>151.4</v>
      </c>
      <c r="K326" s="25">
        <v>155.19999999999999</v>
      </c>
      <c r="L326" s="25">
        <v>163.9</v>
      </c>
      <c r="M326" s="25">
        <v>118.1</v>
      </c>
      <c r="N326" s="25">
        <v>175.4</v>
      </c>
      <c r="O326" s="25">
        <v>170.5</v>
      </c>
      <c r="P326" s="25">
        <v>176.3</v>
      </c>
      <c r="Q326" s="25">
        <v>163.9</v>
      </c>
      <c r="R326" s="52">
        <f t="shared" si="0"/>
        <v>-1.502403846153846E-2</v>
      </c>
      <c r="S326" s="25">
        <v>191.5</v>
      </c>
      <c r="T326" s="52">
        <f t="shared" si="1"/>
        <v>-3.6420395421435416E-3</v>
      </c>
      <c r="U326" s="25">
        <v>174.1</v>
      </c>
      <c r="V326" s="25">
        <v>171</v>
      </c>
      <c r="W326" s="25">
        <v>173.7</v>
      </c>
      <c r="X326" s="52">
        <f t="shared" si="2"/>
        <v>3.0860534124629014E-2</v>
      </c>
      <c r="Y326" s="25" t="s">
        <v>32</v>
      </c>
      <c r="Z326" s="25">
        <v>167.4</v>
      </c>
      <c r="AA326" s="52">
        <f t="shared" si="11"/>
        <v>1.9488428745432506E-2</v>
      </c>
      <c r="AB326" s="25">
        <v>165.7</v>
      </c>
      <c r="AC326" s="52">
        <f t="shared" si="3"/>
        <v>2.8553693358162598E-2</v>
      </c>
      <c r="AD326" s="25">
        <v>175.3</v>
      </c>
      <c r="AE326" s="52">
        <f t="shared" si="4"/>
        <v>2.2753792298716484E-2</v>
      </c>
      <c r="AF326" s="25">
        <v>161.19999999999999</v>
      </c>
      <c r="AG326" s="52">
        <f t="shared" si="5"/>
        <v>3.0031948881789065E-2</v>
      </c>
      <c r="AH326" s="25">
        <v>165.5</v>
      </c>
      <c r="AI326" s="52">
        <f t="shared" si="6"/>
        <v>2.6674937965260617E-2</v>
      </c>
      <c r="AJ326" s="25">
        <v>170.3</v>
      </c>
      <c r="AK326" s="52">
        <f t="shared" si="7"/>
        <v>3.4001214329083325E-2</v>
      </c>
      <c r="AL326" s="25">
        <v>164.5</v>
      </c>
      <c r="AM326" s="52">
        <f t="shared" si="8"/>
        <v>9.202453987730062E-3</v>
      </c>
      <c r="AN326" s="25">
        <v>167.3</v>
      </c>
      <c r="AO326" s="52">
        <f t="shared" si="9"/>
        <v>2.8272894898586497E-2</v>
      </c>
      <c r="AP326" s="25">
        <v>166.7</v>
      </c>
      <c r="AQ326" s="51">
        <f t="shared" si="10"/>
        <v>6.0350030175015095E-3</v>
      </c>
    </row>
    <row r="327" spans="1:43" hidden="1" x14ac:dyDescent="0.3">
      <c r="A327" s="25" t="s">
        <v>33</v>
      </c>
      <c r="B327" s="25">
        <v>2022</v>
      </c>
      <c r="C327" s="25" t="s">
        <v>35</v>
      </c>
      <c r="D327" s="26">
        <f>DATE(B327,MATCH(TRIM(C327),{"January","February","March","April","May","June","July","August","September","October","November","December"},0),1)</f>
        <v>44593</v>
      </c>
      <c r="E327" s="25">
        <v>152.5</v>
      </c>
      <c r="F327" s="25">
        <v>205.2</v>
      </c>
      <c r="G327" s="25">
        <v>176.4</v>
      </c>
      <c r="H327" s="25">
        <v>160.6</v>
      </c>
      <c r="I327" s="25">
        <v>171.5</v>
      </c>
      <c r="J327" s="25">
        <v>156.4</v>
      </c>
      <c r="K327" s="25">
        <v>198</v>
      </c>
      <c r="L327" s="25">
        <v>163.19999999999999</v>
      </c>
      <c r="M327" s="25">
        <v>120.6</v>
      </c>
      <c r="N327" s="25">
        <v>172.2</v>
      </c>
      <c r="O327" s="25">
        <v>156.69999999999999</v>
      </c>
      <c r="P327" s="25">
        <v>180</v>
      </c>
      <c r="Q327" s="25">
        <v>170.2</v>
      </c>
      <c r="R327" s="52">
        <f t="shared" si="0"/>
        <v>3.8438071995118867E-2</v>
      </c>
      <c r="S327" s="25">
        <v>196.5</v>
      </c>
      <c r="T327" s="52">
        <f t="shared" si="1"/>
        <v>2.6109660574412531E-2</v>
      </c>
      <c r="U327" s="25">
        <v>165.7</v>
      </c>
      <c r="V327" s="25">
        <v>150.4</v>
      </c>
      <c r="W327" s="25">
        <v>163.4</v>
      </c>
      <c r="X327" s="52">
        <f t="shared" si="2"/>
        <v>-5.9297639608520344E-2</v>
      </c>
      <c r="Y327" s="25">
        <v>165.5</v>
      </c>
      <c r="Z327" s="25">
        <v>163</v>
      </c>
      <c r="AA327" s="52">
        <f t="shared" si="11"/>
        <v>-2.6284348864994058E-2</v>
      </c>
      <c r="AB327" s="25">
        <v>157.4</v>
      </c>
      <c r="AC327" s="52">
        <f t="shared" si="3"/>
        <v>-5.0090525045262423E-2</v>
      </c>
      <c r="AD327" s="25">
        <v>167.2</v>
      </c>
      <c r="AE327" s="52">
        <f t="shared" si="4"/>
        <v>-4.6206503137478733E-2</v>
      </c>
      <c r="AF327" s="25">
        <v>153.1</v>
      </c>
      <c r="AG327" s="52">
        <f t="shared" si="5"/>
        <v>-5.0248138957816345E-2</v>
      </c>
      <c r="AH327" s="25">
        <v>159.5</v>
      </c>
      <c r="AI327" s="52">
        <f t="shared" si="6"/>
        <v>-3.6253776435045321E-2</v>
      </c>
      <c r="AJ327" s="25">
        <v>162</v>
      </c>
      <c r="AK327" s="52">
        <f t="shared" si="7"/>
        <v>-4.8737522019964834E-2</v>
      </c>
      <c r="AL327" s="25">
        <v>164.2</v>
      </c>
      <c r="AM327" s="52">
        <f t="shared" si="8"/>
        <v>-1.8237082066869992E-3</v>
      </c>
      <c r="AN327" s="25">
        <v>159.4</v>
      </c>
      <c r="AO327" s="52">
        <f t="shared" si="9"/>
        <v>-4.7220561864913357E-2</v>
      </c>
      <c r="AP327" s="25">
        <v>165.5</v>
      </c>
      <c r="AQ327" s="51">
        <f t="shared" si="10"/>
        <v>-7.1985602879423441E-3</v>
      </c>
    </row>
    <row r="328" spans="1:43" x14ac:dyDescent="0.3">
      <c r="A328" s="25" t="s">
        <v>34</v>
      </c>
      <c r="B328" s="25">
        <v>2022</v>
      </c>
      <c r="C328" s="25" t="s">
        <v>35</v>
      </c>
      <c r="D328" s="26">
        <f>DATE(B328,MATCH(TRIM(C328),{"January","February","March","April","May","June","July","August","September","October","November","December"},0),1)</f>
        <v>44593</v>
      </c>
      <c r="E328" s="25">
        <v>150</v>
      </c>
      <c r="F328" s="25">
        <v>200.6</v>
      </c>
      <c r="G328" s="25">
        <v>175.8</v>
      </c>
      <c r="H328" s="25">
        <v>160.69999999999999</v>
      </c>
      <c r="I328" s="25">
        <v>184.9</v>
      </c>
      <c r="J328" s="25">
        <v>153.69999999999999</v>
      </c>
      <c r="K328" s="25">
        <v>169.7</v>
      </c>
      <c r="L328" s="25">
        <v>163.69999999999999</v>
      </c>
      <c r="M328" s="25">
        <v>118.9</v>
      </c>
      <c r="N328" s="25">
        <v>174.3</v>
      </c>
      <c r="O328" s="25">
        <v>164.7</v>
      </c>
      <c r="P328" s="25">
        <v>178</v>
      </c>
      <c r="Q328" s="25">
        <v>166.2</v>
      </c>
      <c r="R328" s="52">
        <f t="shared" si="0"/>
        <v>-2.3501762632197415E-2</v>
      </c>
      <c r="S328" s="25">
        <v>192.8</v>
      </c>
      <c r="T328" s="52">
        <f t="shared" si="1"/>
        <v>-1.8829516539440146E-2</v>
      </c>
      <c r="U328" s="25">
        <v>170.8</v>
      </c>
      <c r="V328" s="25">
        <v>162.4</v>
      </c>
      <c r="W328" s="25">
        <v>169.6</v>
      </c>
      <c r="X328" s="52">
        <f t="shared" si="2"/>
        <v>3.7943696450428326E-2</v>
      </c>
      <c r="Y328" s="25">
        <v>165.5</v>
      </c>
      <c r="Z328" s="25">
        <v>165.7</v>
      </c>
      <c r="AA328" s="52">
        <f t="shared" si="11"/>
        <v>1.6564417177914039E-2</v>
      </c>
      <c r="AB328" s="25">
        <v>161.80000000000001</v>
      </c>
      <c r="AC328" s="52">
        <f t="shared" si="3"/>
        <v>2.7954256670902195E-2</v>
      </c>
      <c r="AD328" s="25">
        <v>172.2</v>
      </c>
      <c r="AE328" s="52">
        <f t="shared" si="4"/>
        <v>2.9904306220095697E-2</v>
      </c>
      <c r="AF328" s="25">
        <v>156.9</v>
      </c>
      <c r="AG328" s="52">
        <f t="shared" si="5"/>
        <v>2.4820378837361278E-2</v>
      </c>
      <c r="AH328" s="25">
        <v>162.1</v>
      </c>
      <c r="AI328" s="52">
        <f t="shared" si="6"/>
        <v>1.6300940438871439E-2</v>
      </c>
      <c r="AJ328" s="25">
        <v>165.4</v>
      </c>
      <c r="AK328" s="52">
        <f t="shared" si="7"/>
        <v>2.0987654320987689E-2</v>
      </c>
      <c r="AL328" s="25">
        <v>164.4</v>
      </c>
      <c r="AM328" s="52">
        <f t="shared" si="8"/>
        <v>1.218026796589629E-3</v>
      </c>
      <c r="AN328" s="25">
        <v>163.5</v>
      </c>
      <c r="AO328" s="52">
        <f t="shared" si="9"/>
        <v>2.5721455457967342E-2</v>
      </c>
      <c r="AP328" s="25">
        <v>166.1</v>
      </c>
      <c r="AQ328" s="51">
        <f t="shared" si="10"/>
        <v>3.6253776435044975E-3</v>
      </c>
    </row>
    <row r="329" spans="1:43" hidden="1" x14ac:dyDescent="0.3">
      <c r="A329" s="25" t="s">
        <v>30</v>
      </c>
      <c r="B329" s="25">
        <v>2022</v>
      </c>
      <c r="C329" s="25" t="s">
        <v>36</v>
      </c>
      <c r="D329" s="26">
        <f>DATE(B329,MATCH(TRIM(C329),{"January","February","March","April","May","June","July","August","September","October","November","December"},0),1)</f>
        <v>44621</v>
      </c>
      <c r="E329" s="25">
        <v>150.19999999999999</v>
      </c>
      <c r="F329" s="25">
        <v>208</v>
      </c>
      <c r="G329" s="25">
        <v>167.9</v>
      </c>
      <c r="H329" s="25">
        <v>162</v>
      </c>
      <c r="I329" s="25">
        <v>203.1</v>
      </c>
      <c r="J329" s="25">
        <v>155.9</v>
      </c>
      <c r="K329" s="25">
        <v>155.80000000000001</v>
      </c>
      <c r="L329" s="25">
        <v>164.2</v>
      </c>
      <c r="M329" s="25">
        <v>118.1</v>
      </c>
      <c r="N329" s="25">
        <v>178.7</v>
      </c>
      <c r="O329" s="25">
        <v>171.2</v>
      </c>
      <c r="P329" s="25">
        <v>177.4</v>
      </c>
      <c r="Q329" s="25">
        <v>166.6</v>
      </c>
      <c r="R329" s="52">
        <f t="shared" si="0"/>
        <v>2.406738868832766E-3</v>
      </c>
      <c r="S329" s="25">
        <v>192.3</v>
      </c>
      <c r="T329" s="52">
        <f t="shared" si="1"/>
        <v>-2.5933609958506223E-3</v>
      </c>
      <c r="U329" s="25">
        <v>175.4</v>
      </c>
      <c r="V329" s="25">
        <v>173.2</v>
      </c>
      <c r="W329" s="25">
        <v>175.1</v>
      </c>
      <c r="X329" s="52">
        <f t="shared" si="2"/>
        <v>3.2429245283018868E-2</v>
      </c>
      <c r="Y329" s="25" t="s">
        <v>32</v>
      </c>
      <c r="Z329" s="25">
        <v>168.9</v>
      </c>
      <c r="AA329" s="52">
        <f t="shared" si="11"/>
        <v>1.9312009656004932E-2</v>
      </c>
      <c r="AB329" s="25">
        <v>166.5</v>
      </c>
      <c r="AC329" s="52">
        <f t="shared" si="3"/>
        <v>2.9048207663782376E-2</v>
      </c>
      <c r="AD329" s="25">
        <v>176</v>
      </c>
      <c r="AE329" s="52">
        <f t="shared" si="4"/>
        <v>2.2067363530778233E-2</v>
      </c>
      <c r="AF329" s="25">
        <v>162</v>
      </c>
      <c r="AG329" s="52">
        <f t="shared" si="5"/>
        <v>3.2504780114722714E-2</v>
      </c>
      <c r="AH329" s="25">
        <v>166.6</v>
      </c>
      <c r="AI329" s="52">
        <f t="shared" si="6"/>
        <v>2.7760641579272057E-2</v>
      </c>
      <c r="AJ329" s="25">
        <v>170.6</v>
      </c>
      <c r="AK329" s="52">
        <f t="shared" si="7"/>
        <v>3.1438935912938261E-2</v>
      </c>
      <c r="AL329" s="25">
        <v>167.4</v>
      </c>
      <c r="AM329" s="52">
        <f t="shared" si="8"/>
        <v>1.824817518248175E-2</v>
      </c>
      <c r="AN329" s="25">
        <v>168.3</v>
      </c>
      <c r="AO329" s="52">
        <f t="shared" si="9"/>
        <v>2.9357798165137686E-2</v>
      </c>
      <c r="AP329" s="25">
        <v>168.7</v>
      </c>
      <c r="AQ329" s="51">
        <f t="shared" si="10"/>
        <v>1.5653220951234163E-2</v>
      </c>
    </row>
    <row r="330" spans="1:43" hidden="1" x14ac:dyDescent="0.3">
      <c r="A330" s="25" t="s">
        <v>33</v>
      </c>
      <c r="B330" s="25">
        <v>2022</v>
      </c>
      <c r="C330" s="25" t="s">
        <v>36</v>
      </c>
      <c r="D330" s="26">
        <f>DATE(B330,MATCH(TRIM(C330),{"January","February","March","April","May","June","July","August","September","October","November","December"},0),1)</f>
        <v>44621</v>
      </c>
      <c r="E330" s="25">
        <v>153.69999999999999</v>
      </c>
      <c r="F330" s="25">
        <v>215.8</v>
      </c>
      <c r="G330" s="25">
        <v>167.7</v>
      </c>
      <c r="H330" s="25">
        <v>162.6</v>
      </c>
      <c r="I330" s="25">
        <v>180</v>
      </c>
      <c r="J330" s="25">
        <v>159.6</v>
      </c>
      <c r="K330" s="25">
        <v>188.4</v>
      </c>
      <c r="L330" s="25">
        <v>163.4</v>
      </c>
      <c r="M330" s="25">
        <v>120.3</v>
      </c>
      <c r="N330" s="25">
        <v>174.7</v>
      </c>
      <c r="O330" s="25">
        <v>157.1</v>
      </c>
      <c r="P330" s="25">
        <v>181.5</v>
      </c>
      <c r="Q330" s="25">
        <v>171.5</v>
      </c>
      <c r="R330" s="52">
        <f t="shared" si="0"/>
        <v>2.9411764705882387E-2</v>
      </c>
      <c r="S330" s="25">
        <v>197.5</v>
      </c>
      <c r="T330" s="52">
        <f t="shared" si="1"/>
        <v>2.7041081643265671E-2</v>
      </c>
      <c r="U330" s="25">
        <v>167.1</v>
      </c>
      <c r="V330" s="25">
        <v>152.6</v>
      </c>
      <c r="W330" s="25">
        <v>164.9</v>
      </c>
      <c r="X330" s="52">
        <f t="shared" si="2"/>
        <v>-5.8252427184465959E-2</v>
      </c>
      <c r="Y330" s="25">
        <v>165.3</v>
      </c>
      <c r="Z330" s="25">
        <v>164.5</v>
      </c>
      <c r="AA330" s="52">
        <f t="shared" si="11"/>
        <v>-2.6050917702782745E-2</v>
      </c>
      <c r="AB330" s="25">
        <v>158.6</v>
      </c>
      <c r="AC330" s="52">
        <f t="shared" si="3"/>
        <v>-4.7447447447447479E-2</v>
      </c>
      <c r="AD330" s="25">
        <v>168.2</v>
      </c>
      <c r="AE330" s="52">
        <f t="shared" si="4"/>
        <v>-4.4318181818181882E-2</v>
      </c>
      <c r="AF330" s="25">
        <v>154.19999999999999</v>
      </c>
      <c r="AG330" s="52">
        <f t="shared" si="5"/>
        <v>-4.8148148148148218E-2</v>
      </c>
      <c r="AH330" s="25">
        <v>160.80000000000001</v>
      </c>
      <c r="AI330" s="52">
        <f t="shared" si="6"/>
        <v>-3.4813925570227992E-2</v>
      </c>
      <c r="AJ330" s="25">
        <v>162.69999999999999</v>
      </c>
      <c r="AK330" s="52">
        <f t="shared" si="7"/>
        <v>-4.6307151230949625E-2</v>
      </c>
      <c r="AL330" s="25">
        <v>166.8</v>
      </c>
      <c r="AM330" s="52">
        <f t="shared" si="8"/>
        <v>-3.5842293906809693E-3</v>
      </c>
      <c r="AN330" s="25">
        <v>160.6</v>
      </c>
      <c r="AO330" s="52">
        <f t="shared" si="9"/>
        <v>-4.5751633986928206E-2</v>
      </c>
      <c r="AP330" s="25">
        <v>166.5</v>
      </c>
      <c r="AQ330" s="51">
        <f t="shared" si="10"/>
        <v>-1.304090100770592E-2</v>
      </c>
    </row>
    <row r="331" spans="1:43" x14ac:dyDescent="0.3">
      <c r="A331" s="25" t="s">
        <v>34</v>
      </c>
      <c r="B331" s="25">
        <v>2022</v>
      </c>
      <c r="C331" s="25" t="s">
        <v>36</v>
      </c>
      <c r="D331" s="26">
        <f>DATE(B331,MATCH(TRIM(C331),{"January","February","March","April","May","June","July","August","September","October","November","December"},0),1)</f>
        <v>44621</v>
      </c>
      <c r="E331" s="25">
        <v>151.30000000000001</v>
      </c>
      <c r="F331" s="25">
        <v>210.7</v>
      </c>
      <c r="G331" s="25">
        <v>167.8</v>
      </c>
      <c r="H331" s="25">
        <v>162.19999999999999</v>
      </c>
      <c r="I331" s="25">
        <v>194.6</v>
      </c>
      <c r="J331" s="25">
        <v>157.6</v>
      </c>
      <c r="K331" s="25">
        <v>166.9</v>
      </c>
      <c r="L331" s="25">
        <v>163.9</v>
      </c>
      <c r="M331" s="25">
        <v>118.8</v>
      </c>
      <c r="N331" s="25">
        <v>177.4</v>
      </c>
      <c r="O331" s="25">
        <v>165.3</v>
      </c>
      <c r="P331" s="25">
        <v>179.3</v>
      </c>
      <c r="Q331" s="25">
        <v>168.4</v>
      </c>
      <c r="R331" s="52">
        <f t="shared" si="0"/>
        <v>-1.8075801749271102E-2</v>
      </c>
      <c r="S331" s="25">
        <v>193.7</v>
      </c>
      <c r="T331" s="52">
        <f t="shared" si="1"/>
        <v>-1.924050632911398E-2</v>
      </c>
      <c r="U331" s="25">
        <v>172.1</v>
      </c>
      <c r="V331" s="25">
        <v>164.6</v>
      </c>
      <c r="W331" s="25">
        <v>171.1</v>
      </c>
      <c r="X331" s="52">
        <f t="shared" si="2"/>
        <v>3.7598544572468091E-2</v>
      </c>
      <c r="Y331" s="25">
        <v>165.3</v>
      </c>
      <c r="Z331" s="25">
        <v>167.2</v>
      </c>
      <c r="AA331" s="52">
        <f t="shared" si="11"/>
        <v>1.6413373860182302E-2</v>
      </c>
      <c r="AB331" s="25">
        <v>162.80000000000001</v>
      </c>
      <c r="AC331" s="52">
        <f t="shared" si="3"/>
        <v>2.6481715006305279E-2</v>
      </c>
      <c r="AD331" s="25">
        <v>173</v>
      </c>
      <c r="AE331" s="52">
        <f t="shared" si="4"/>
        <v>2.8537455410225992E-2</v>
      </c>
      <c r="AF331" s="25">
        <v>157.9</v>
      </c>
      <c r="AG331" s="52">
        <f t="shared" si="5"/>
        <v>2.3994811932555236E-2</v>
      </c>
      <c r="AH331" s="25">
        <v>163.30000000000001</v>
      </c>
      <c r="AI331" s="52">
        <f t="shared" si="6"/>
        <v>1.5547263681592038E-2</v>
      </c>
      <c r="AJ331" s="25">
        <v>166</v>
      </c>
      <c r="AK331" s="52">
        <f t="shared" si="7"/>
        <v>2.0282728948985935E-2</v>
      </c>
      <c r="AL331" s="25">
        <v>167.2</v>
      </c>
      <c r="AM331" s="52">
        <f t="shared" si="8"/>
        <v>2.3980815347720459E-3</v>
      </c>
      <c r="AN331" s="25">
        <v>164.6</v>
      </c>
      <c r="AO331" s="52">
        <f t="shared" si="9"/>
        <v>2.4906600249066005E-2</v>
      </c>
      <c r="AP331" s="25">
        <v>167.7</v>
      </c>
      <c r="AQ331" s="51">
        <f t="shared" si="10"/>
        <v>7.2072072072071388E-3</v>
      </c>
    </row>
    <row r="332" spans="1:43" hidden="1" x14ac:dyDescent="0.3">
      <c r="A332" s="25" t="s">
        <v>30</v>
      </c>
      <c r="B332" s="25">
        <v>2022</v>
      </c>
      <c r="C332" s="25" t="s">
        <v>37</v>
      </c>
      <c r="D332" s="26">
        <f>DATE(B332,MATCH(TRIM(C332),{"January","February","March","April","May","June","July","August","September","October","November","December"},0),1)</f>
        <v>44652</v>
      </c>
      <c r="E332" s="25">
        <v>151.80000000000001</v>
      </c>
      <c r="F332" s="25">
        <v>209.7</v>
      </c>
      <c r="G332" s="25">
        <v>164.5</v>
      </c>
      <c r="H332" s="25">
        <v>163.80000000000001</v>
      </c>
      <c r="I332" s="25">
        <v>207.4</v>
      </c>
      <c r="J332" s="25">
        <v>169.7</v>
      </c>
      <c r="K332" s="25">
        <v>153.6</v>
      </c>
      <c r="L332" s="25">
        <v>165.1</v>
      </c>
      <c r="M332" s="25">
        <v>118.2</v>
      </c>
      <c r="N332" s="25">
        <v>182.9</v>
      </c>
      <c r="O332" s="25">
        <v>172.4</v>
      </c>
      <c r="P332" s="25">
        <v>178.9</v>
      </c>
      <c r="Q332" s="25">
        <v>168.6</v>
      </c>
      <c r="R332" s="52">
        <f t="shared" si="0"/>
        <v>1.1876484560569395E-3</v>
      </c>
      <c r="S332" s="25">
        <v>192.8</v>
      </c>
      <c r="T332" s="52">
        <f t="shared" si="1"/>
        <v>-4.6463603510582202E-3</v>
      </c>
      <c r="U332" s="25">
        <v>177.5</v>
      </c>
      <c r="V332" s="25">
        <v>175.1</v>
      </c>
      <c r="W332" s="25">
        <v>177.1</v>
      </c>
      <c r="X332" s="52">
        <f t="shared" si="2"/>
        <v>3.5067212156633547E-2</v>
      </c>
      <c r="Y332" s="25" t="s">
        <v>32</v>
      </c>
      <c r="Z332" s="25">
        <v>173.3</v>
      </c>
      <c r="AA332" s="52">
        <f t="shared" si="11"/>
        <v>3.6483253588516888E-2</v>
      </c>
      <c r="AB332" s="25">
        <v>167.7</v>
      </c>
      <c r="AC332" s="52">
        <f t="shared" si="3"/>
        <v>3.0098280098279955E-2</v>
      </c>
      <c r="AD332" s="25">
        <v>177</v>
      </c>
      <c r="AE332" s="52">
        <f t="shared" si="4"/>
        <v>2.3121387283236993E-2</v>
      </c>
      <c r="AF332" s="25">
        <v>166.2</v>
      </c>
      <c r="AG332" s="52">
        <f t="shared" si="5"/>
        <v>5.2564914502849794E-2</v>
      </c>
      <c r="AH332" s="25">
        <v>167.2</v>
      </c>
      <c r="AI332" s="52">
        <f t="shared" si="6"/>
        <v>2.3882424984690613E-2</v>
      </c>
      <c r="AJ332" s="25">
        <v>170.9</v>
      </c>
      <c r="AK332" s="52">
        <f t="shared" si="7"/>
        <v>2.951807228915666E-2</v>
      </c>
      <c r="AL332" s="25">
        <v>169</v>
      </c>
      <c r="AM332" s="52">
        <f t="shared" si="8"/>
        <v>1.0765550239234518E-2</v>
      </c>
      <c r="AN332" s="25">
        <v>170.2</v>
      </c>
      <c r="AO332" s="52">
        <f t="shared" si="9"/>
        <v>3.402187120291613E-2</v>
      </c>
      <c r="AP332" s="25">
        <v>170.8</v>
      </c>
      <c r="AQ332" s="51">
        <f t="shared" si="10"/>
        <v>1.848539057841397E-2</v>
      </c>
    </row>
    <row r="333" spans="1:43" hidden="1" x14ac:dyDescent="0.3">
      <c r="A333" s="25" t="s">
        <v>33</v>
      </c>
      <c r="B333" s="25">
        <v>2022</v>
      </c>
      <c r="C333" s="25" t="s">
        <v>37</v>
      </c>
      <c r="D333" s="26">
        <f>DATE(B333,MATCH(TRIM(C333),{"January","February","March","April","May","June","July","August","September","October","November","December"},0),1)</f>
        <v>44652</v>
      </c>
      <c r="E333" s="25">
        <v>155.4</v>
      </c>
      <c r="F333" s="25">
        <v>215.8</v>
      </c>
      <c r="G333" s="25">
        <v>164.6</v>
      </c>
      <c r="H333" s="25">
        <v>164.2</v>
      </c>
      <c r="I333" s="25">
        <v>186</v>
      </c>
      <c r="J333" s="25">
        <v>175.9</v>
      </c>
      <c r="K333" s="25">
        <v>190.7</v>
      </c>
      <c r="L333" s="25">
        <v>164</v>
      </c>
      <c r="M333" s="25">
        <v>120.5</v>
      </c>
      <c r="N333" s="25">
        <v>178</v>
      </c>
      <c r="O333" s="25">
        <v>157.5</v>
      </c>
      <c r="P333" s="25">
        <v>183.3</v>
      </c>
      <c r="Q333" s="25">
        <v>174.5</v>
      </c>
      <c r="R333" s="52">
        <f t="shared" si="0"/>
        <v>3.4994068801898016E-2</v>
      </c>
      <c r="S333" s="25">
        <v>197.1</v>
      </c>
      <c r="T333" s="52">
        <f t="shared" si="1"/>
        <v>2.2302904564315263E-2</v>
      </c>
      <c r="U333" s="25">
        <v>168.4</v>
      </c>
      <c r="V333" s="25">
        <v>154.5</v>
      </c>
      <c r="W333" s="25">
        <v>166.3</v>
      </c>
      <c r="X333" s="52">
        <f t="shared" si="2"/>
        <v>-6.0982495765104366E-2</v>
      </c>
      <c r="Y333" s="25">
        <v>167</v>
      </c>
      <c r="Z333" s="25">
        <v>170.5</v>
      </c>
      <c r="AA333" s="52">
        <f t="shared" si="11"/>
        <v>-1.615695326024242E-2</v>
      </c>
      <c r="AB333" s="25">
        <v>159.80000000000001</v>
      </c>
      <c r="AC333" s="52">
        <f t="shared" si="3"/>
        <v>-4.7107930828860931E-2</v>
      </c>
      <c r="AD333" s="25">
        <v>169</v>
      </c>
      <c r="AE333" s="52">
        <f t="shared" si="4"/>
        <v>-4.519774011299435E-2</v>
      </c>
      <c r="AF333" s="25">
        <v>159.30000000000001</v>
      </c>
      <c r="AG333" s="52">
        <f t="shared" si="5"/>
        <v>-4.1516245487364489E-2</v>
      </c>
      <c r="AH333" s="25">
        <v>162.19999999999999</v>
      </c>
      <c r="AI333" s="52">
        <f t="shared" si="6"/>
        <v>-2.9904306220095697E-2</v>
      </c>
      <c r="AJ333" s="25">
        <v>164</v>
      </c>
      <c r="AK333" s="52">
        <f t="shared" si="7"/>
        <v>-4.0374488004681131E-2</v>
      </c>
      <c r="AL333" s="25">
        <v>168.4</v>
      </c>
      <c r="AM333" s="52">
        <f t="shared" si="8"/>
        <v>-3.5502958579881321E-3</v>
      </c>
      <c r="AN333" s="25">
        <v>163.1</v>
      </c>
      <c r="AO333" s="52">
        <f t="shared" si="9"/>
        <v>-4.1715628672150382E-2</v>
      </c>
      <c r="AP333" s="25">
        <v>169.2</v>
      </c>
      <c r="AQ333" s="51">
        <f t="shared" si="10"/>
        <v>-9.3676814988291716E-3</v>
      </c>
    </row>
    <row r="334" spans="1:43" x14ac:dyDescent="0.3">
      <c r="A334" s="25" t="s">
        <v>34</v>
      </c>
      <c r="B334" s="25">
        <v>2022</v>
      </c>
      <c r="C334" s="25" t="s">
        <v>37</v>
      </c>
      <c r="D334" s="26">
        <f>DATE(B334,MATCH(TRIM(C334),{"January","February","March","April","May","June","July","August","September","October","November","December"},0),1)</f>
        <v>44652</v>
      </c>
      <c r="E334" s="25">
        <v>152.9</v>
      </c>
      <c r="F334" s="25">
        <v>211.8</v>
      </c>
      <c r="G334" s="25">
        <v>164.5</v>
      </c>
      <c r="H334" s="25">
        <v>163.9</v>
      </c>
      <c r="I334" s="25">
        <v>199.5</v>
      </c>
      <c r="J334" s="25">
        <v>172.6</v>
      </c>
      <c r="K334" s="25">
        <v>166.2</v>
      </c>
      <c r="L334" s="25">
        <v>164.7</v>
      </c>
      <c r="M334" s="25">
        <v>119</v>
      </c>
      <c r="N334" s="25">
        <v>181.3</v>
      </c>
      <c r="O334" s="25">
        <v>166.2</v>
      </c>
      <c r="P334" s="25">
        <v>180.9</v>
      </c>
      <c r="Q334" s="25">
        <v>170.8</v>
      </c>
      <c r="R334" s="52">
        <f t="shared" si="0"/>
        <v>-2.1203438395415407E-2</v>
      </c>
      <c r="S334" s="25">
        <v>193.9</v>
      </c>
      <c r="T334" s="52">
        <f t="shared" si="1"/>
        <v>-1.6235413495687412E-2</v>
      </c>
      <c r="U334" s="25">
        <v>173.9</v>
      </c>
      <c r="V334" s="25">
        <v>166.5</v>
      </c>
      <c r="W334" s="25">
        <v>172.8</v>
      </c>
      <c r="X334" s="52">
        <f t="shared" si="2"/>
        <v>3.9085989176187608E-2</v>
      </c>
      <c r="Y334" s="25">
        <v>167</v>
      </c>
      <c r="Z334" s="25">
        <v>172.2</v>
      </c>
      <c r="AA334" s="52">
        <f t="shared" si="11"/>
        <v>9.9706744868034523E-3</v>
      </c>
      <c r="AB334" s="25">
        <v>164</v>
      </c>
      <c r="AC334" s="52">
        <f t="shared" si="3"/>
        <v>2.6282853566958624E-2</v>
      </c>
      <c r="AD334" s="25">
        <v>174</v>
      </c>
      <c r="AE334" s="52">
        <f t="shared" si="4"/>
        <v>2.9585798816568046E-2</v>
      </c>
      <c r="AF334" s="25">
        <v>162.6</v>
      </c>
      <c r="AG334" s="52">
        <f t="shared" si="5"/>
        <v>2.0715630885122301E-2</v>
      </c>
      <c r="AH334" s="25">
        <v>164.4</v>
      </c>
      <c r="AI334" s="52">
        <f t="shared" si="6"/>
        <v>1.3563501849568541E-2</v>
      </c>
      <c r="AJ334" s="25">
        <v>166.9</v>
      </c>
      <c r="AK334" s="52">
        <f t="shared" si="7"/>
        <v>1.7682926829268326E-2</v>
      </c>
      <c r="AL334" s="25">
        <v>168.8</v>
      </c>
      <c r="AM334" s="52">
        <f t="shared" si="8"/>
        <v>2.3752969121140478E-3</v>
      </c>
      <c r="AN334" s="25">
        <v>166.8</v>
      </c>
      <c r="AO334" s="52">
        <f t="shared" si="9"/>
        <v>2.2685469037400475E-2</v>
      </c>
      <c r="AP334" s="25">
        <v>170.1</v>
      </c>
      <c r="AQ334" s="51">
        <f t="shared" si="10"/>
        <v>5.3191489361702465E-3</v>
      </c>
    </row>
    <row r="335" spans="1:43" hidden="1" x14ac:dyDescent="0.3">
      <c r="A335" s="25" t="s">
        <v>30</v>
      </c>
      <c r="B335" s="25">
        <v>2022</v>
      </c>
      <c r="C335" s="25" t="s">
        <v>38</v>
      </c>
      <c r="D335" s="26">
        <f>DATE(B335,MATCH(TRIM(C335),{"January","February","March","April","May","June","July","August","September","October","November","December"},0),1)</f>
        <v>44682</v>
      </c>
      <c r="E335" s="25">
        <v>152.9</v>
      </c>
      <c r="F335" s="25">
        <v>214.7</v>
      </c>
      <c r="G335" s="25">
        <v>161.4</v>
      </c>
      <c r="H335" s="25">
        <v>164.6</v>
      </c>
      <c r="I335" s="25">
        <v>209.9</v>
      </c>
      <c r="J335" s="25">
        <v>168</v>
      </c>
      <c r="K335" s="25">
        <v>160.4</v>
      </c>
      <c r="L335" s="25">
        <v>165</v>
      </c>
      <c r="M335" s="25">
        <v>118.9</v>
      </c>
      <c r="N335" s="25">
        <v>186.6</v>
      </c>
      <c r="O335" s="25">
        <v>173.2</v>
      </c>
      <c r="P335" s="25">
        <v>180.4</v>
      </c>
      <c r="Q335" s="25">
        <v>170.8</v>
      </c>
      <c r="R335" s="52">
        <f t="shared" si="0"/>
        <v>0</v>
      </c>
      <c r="S335" s="25">
        <v>192.9</v>
      </c>
      <c r="T335" s="52">
        <f t="shared" si="1"/>
        <v>-5.1572975760701394E-3</v>
      </c>
      <c r="U335" s="25">
        <v>179.3</v>
      </c>
      <c r="V335" s="25">
        <v>177.2</v>
      </c>
      <c r="W335" s="25">
        <v>179</v>
      </c>
      <c r="X335" s="52">
        <f t="shared" si="2"/>
        <v>3.587962962962956E-2</v>
      </c>
      <c r="Y335" s="25" t="s">
        <v>32</v>
      </c>
      <c r="Z335" s="25">
        <v>175.3</v>
      </c>
      <c r="AA335" s="52">
        <f t="shared" si="11"/>
        <v>1.8002322880371794E-2</v>
      </c>
      <c r="AB335" s="25">
        <v>168.9</v>
      </c>
      <c r="AC335" s="52">
        <f t="shared" si="3"/>
        <v>2.9878048780487838E-2</v>
      </c>
      <c r="AD335" s="25">
        <v>177.7</v>
      </c>
      <c r="AE335" s="52">
        <f t="shared" si="4"/>
        <v>2.1264367816091888E-2</v>
      </c>
      <c r="AF335" s="25">
        <v>167.1</v>
      </c>
      <c r="AG335" s="52">
        <f t="shared" si="5"/>
        <v>2.7675276752767528E-2</v>
      </c>
      <c r="AH335" s="25">
        <v>167.6</v>
      </c>
      <c r="AI335" s="52">
        <f t="shared" si="6"/>
        <v>1.9464720194647133E-2</v>
      </c>
      <c r="AJ335" s="25">
        <v>171.8</v>
      </c>
      <c r="AK335" s="52">
        <f t="shared" si="7"/>
        <v>2.9358897543439219E-2</v>
      </c>
      <c r="AL335" s="25">
        <v>168.5</v>
      </c>
      <c r="AM335" s="52">
        <f t="shared" si="8"/>
        <v>-1.7772511848341904E-3</v>
      </c>
      <c r="AN335" s="25">
        <v>170.9</v>
      </c>
      <c r="AO335" s="52">
        <f t="shared" si="9"/>
        <v>2.4580335731414833E-2</v>
      </c>
      <c r="AP335" s="25">
        <v>172.5</v>
      </c>
      <c r="AQ335" s="51">
        <f t="shared" si="10"/>
        <v>1.410934744268081E-2</v>
      </c>
    </row>
    <row r="336" spans="1:43" hidden="1" x14ac:dyDescent="0.3">
      <c r="A336" s="25" t="s">
        <v>33</v>
      </c>
      <c r="B336" s="25">
        <v>2022</v>
      </c>
      <c r="C336" s="25" t="s">
        <v>38</v>
      </c>
      <c r="D336" s="26">
        <f>DATE(B336,MATCH(TRIM(C336),{"January","February","March","April","May","June","July","August","September","October","November","December"},0),1)</f>
        <v>44682</v>
      </c>
      <c r="E336" s="25">
        <v>156.69999999999999</v>
      </c>
      <c r="F336" s="25">
        <v>221.2</v>
      </c>
      <c r="G336" s="25">
        <v>164.1</v>
      </c>
      <c r="H336" s="25">
        <v>165.4</v>
      </c>
      <c r="I336" s="25">
        <v>189.5</v>
      </c>
      <c r="J336" s="25">
        <v>174.5</v>
      </c>
      <c r="K336" s="25">
        <v>203.2</v>
      </c>
      <c r="L336" s="25">
        <v>164.1</v>
      </c>
      <c r="M336" s="25">
        <v>121.2</v>
      </c>
      <c r="N336" s="25">
        <v>181.4</v>
      </c>
      <c r="O336" s="25">
        <v>158.5</v>
      </c>
      <c r="P336" s="25">
        <v>184.9</v>
      </c>
      <c r="Q336" s="25">
        <v>177.5</v>
      </c>
      <c r="R336" s="52">
        <f t="shared" si="0"/>
        <v>3.9227166276346537E-2</v>
      </c>
      <c r="S336" s="25">
        <v>197.5</v>
      </c>
      <c r="T336" s="52">
        <f t="shared" si="1"/>
        <v>2.3846552617936726E-2</v>
      </c>
      <c r="U336" s="25">
        <v>170</v>
      </c>
      <c r="V336" s="25">
        <v>155.9</v>
      </c>
      <c r="W336" s="25">
        <v>167.8</v>
      </c>
      <c r="X336" s="52">
        <f t="shared" si="2"/>
        <v>-6.2569832402234571E-2</v>
      </c>
      <c r="Y336" s="25">
        <v>167.5</v>
      </c>
      <c r="Z336" s="25">
        <v>173.5</v>
      </c>
      <c r="AA336" s="52">
        <f t="shared" si="11"/>
        <v>-1.0268111808328644E-2</v>
      </c>
      <c r="AB336" s="25">
        <v>161.1</v>
      </c>
      <c r="AC336" s="52">
        <f t="shared" si="3"/>
        <v>-4.6181172291296688E-2</v>
      </c>
      <c r="AD336" s="25">
        <v>170.1</v>
      </c>
      <c r="AE336" s="52">
        <f t="shared" si="4"/>
        <v>-4.2768711311198623E-2</v>
      </c>
      <c r="AF336" s="25">
        <v>159.4</v>
      </c>
      <c r="AG336" s="52">
        <f t="shared" si="5"/>
        <v>-4.608019150209449E-2</v>
      </c>
      <c r="AH336" s="25">
        <v>163.19999999999999</v>
      </c>
      <c r="AI336" s="52">
        <f t="shared" si="6"/>
        <v>-2.6252983293556121E-2</v>
      </c>
      <c r="AJ336" s="25">
        <v>165.2</v>
      </c>
      <c r="AK336" s="52">
        <f t="shared" si="7"/>
        <v>-3.8416763678696286E-2</v>
      </c>
      <c r="AL336" s="25">
        <v>168.2</v>
      </c>
      <c r="AM336" s="52">
        <f t="shared" si="8"/>
        <v>-1.7804154302671297E-3</v>
      </c>
      <c r="AN336" s="25">
        <v>163.80000000000001</v>
      </c>
      <c r="AO336" s="52">
        <f t="shared" si="9"/>
        <v>-4.1544763019309504E-2</v>
      </c>
      <c r="AP336" s="25">
        <v>170.8</v>
      </c>
      <c r="AQ336" s="51">
        <f t="shared" si="10"/>
        <v>-9.8550724637680494E-3</v>
      </c>
    </row>
    <row r="337" spans="1:43" x14ac:dyDescent="0.3">
      <c r="A337" s="25" t="s">
        <v>34</v>
      </c>
      <c r="B337" s="25">
        <v>2022</v>
      </c>
      <c r="C337" s="25" t="s">
        <v>38</v>
      </c>
      <c r="D337" s="26">
        <f>DATE(B337,MATCH(TRIM(C337),{"January","February","March","April","May","June","July","August","September","October","November","December"},0),1)</f>
        <v>44682</v>
      </c>
      <c r="E337" s="25">
        <v>154.1</v>
      </c>
      <c r="F337" s="25">
        <v>217</v>
      </c>
      <c r="G337" s="25">
        <v>162.4</v>
      </c>
      <c r="H337" s="25">
        <v>164.9</v>
      </c>
      <c r="I337" s="25">
        <v>202.4</v>
      </c>
      <c r="J337" s="25">
        <v>171</v>
      </c>
      <c r="K337" s="25">
        <v>174.9</v>
      </c>
      <c r="L337" s="25">
        <v>164.7</v>
      </c>
      <c r="M337" s="25">
        <v>119.7</v>
      </c>
      <c r="N337" s="25">
        <v>184.9</v>
      </c>
      <c r="O337" s="25">
        <v>167.1</v>
      </c>
      <c r="P337" s="25">
        <v>182.5</v>
      </c>
      <c r="Q337" s="25">
        <v>173.3</v>
      </c>
      <c r="R337" s="52">
        <f t="shared" si="0"/>
        <v>-2.366197183098585E-2</v>
      </c>
      <c r="S337" s="25">
        <v>194.1</v>
      </c>
      <c r="T337" s="52">
        <f t="shared" si="1"/>
        <v>-1.721518987341775E-2</v>
      </c>
      <c r="U337" s="25">
        <v>175.6</v>
      </c>
      <c r="V337" s="25">
        <v>168.4</v>
      </c>
      <c r="W337" s="25">
        <v>174.6</v>
      </c>
      <c r="X337" s="52">
        <f t="shared" si="2"/>
        <v>4.0524433849821108E-2</v>
      </c>
      <c r="Y337" s="25">
        <v>167.5</v>
      </c>
      <c r="Z337" s="25">
        <v>174.6</v>
      </c>
      <c r="AA337" s="52">
        <f t="shared" si="11"/>
        <v>6.3400576368875753E-3</v>
      </c>
      <c r="AB337" s="25">
        <v>165.2</v>
      </c>
      <c r="AC337" s="52">
        <f t="shared" si="3"/>
        <v>2.5450031036623182E-2</v>
      </c>
      <c r="AD337" s="25">
        <v>174.8</v>
      </c>
      <c r="AE337" s="52">
        <f t="shared" si="4"/>
        <v>2.7630805408583287E-2</v>
      </c>
      <c r="AF337" s="25">
        <v>163</v>
      </c>
      <c r="AG337" s="52">
        <f t="shared" si="5"/>
        <v>2.2584692597239612E-2</v>
      </c>
      <c r="AH337" s="25">
        <v>165.1</v>
      </c>
      <c r="AI337" s="52">
        <f t="shared" si="6"/>
        <v>1.1642156862745133E-2</v>
      </c>
      <c r="AJ337" s="25">
        <v>167.9</v>
      </c>
      <c r="AK337" s="52">
        <f t="shared" si="7"/>
        <v>1.6343825665859669E-2</v>
      </c>
      <c r="AL337" s="25">
        <v>168.4</v>
      </c>
      <c r="AM337" s="52">
        <f t="shared" si="8"/>
        <v>1.1890606420928481E-3</v>
      </c>
      <c r="AN337" s="25">
        <v>167.5</v>
      </c>
      <c r="AO337" s="52">
        <f t="shared" si="9"/>
        <v>2.2588522588522519E-2</v>
      </c>
      <c r="AP337" s="25">
        <v>171.7</v>
      </c>
      <c r="AQ337" s="51">
        <f t="shared" si="10"/>
        <v>5.2693208430912011E-3</v>
      </c>
    </row>
    <row r="338" spans="1:43" hidden="1" x14ac:dyDescent="0.3">
      <c r="A338" s="25" t="s">
        <v>30</v>
      </c>
      <c r="B338" s="25">
        <v>2022</v>
      </c>
      <c r="C338" s="25" t="s">
        <v>39</v>
      </c>
      <c r="D338" s="26">
        <f>DATE(B338,MATCH(TRIM(C338),{"January","February","March","April","May","June","July","August","September","October","November","December"},0),1)</f>
        <v>44713</v>
      </c>
      <c r="E338" s="25">
        <v>153.80000000000001</v>
      </c>
      <c r="F338" s="25">
        <v>217.2</v>
      </c>
      <c r="G338" s="25">
        <v>169.6</v>
      </c>
      <c r="H338" s="25">
        <v>165.4</v>
      </c>
      <c r="I338" s="25">
        <v>208.1</v>
      </c>
      <c r="J338" s="25">
        <v>165.8</v>
      </c>
      <c r="K338" s="25">
        <v>167.3</v>
      </c>
      <c r="L338" s="25">
        <v>164.6</v>
      </c>
      <c r="M338" s="25">
        <v>119.1</v>
      </c>
      <c r="N338" s="25">
        <v>188.9</v>
      </c>
      <c r="O338" s="25">
        <v>174.2</v>
      </c>
      <c r="P338" s="25">
        <v>181.9</v>
      </c>
      <c r="Q338" s="25">
        <v>172.4</v>
      </c>
      <c r="R338" s="52">
        <f t="shared" si="0"/>
        <v>-5.1933064050779321E-3</v>
      </c>
      <c r="S338" s="25">
        <v>192.9</v>
      </c>
      <c r="T338" s="52">
        <f t="shared" si="1"/>
        <v>-6.1823802163832493E-3</v>
      </c>
      <c r="U338" s="25">
        <v>180.7</v>
      </c>
      <c r="V338" s="25">
        <v>178.7</v>
      </c>
      <c r="W338" s="25">
        <v>180.4</v>
      </c>
      <c r="X338" s="52">
        <f t="shared" si="2"/>
        <v>3.3218785796105453E-2</v>
      </c>
      <c r="Y338" s="25" t="s">
        <v>32</v>
      </c>
      <c r="Z338" s="25">
        <v>176.7</v>
      </c>
      <c r="AA338" s="52">
        <f t="shared" si="11"/>
        <v>1.2027491408934676E-2</v>
      </c>
      <c r="AB338" s="25">
        <v>170.3</v>
      </c>
      <c r="AC338" s="52">
        <f t="shared" si="3"/>
        <v>3.0871670702179315E-2</v>
      </c>
      <c r="AD338" s="25">
        <v>178.2</v>
      </c>
      <c r="AE338" s="52">
        <f t="shared" si="4"/>
        <v>1.9450800915331676E-2</v>
      </c>
      <c r="AF338" s="25">
        <v>165.5</v>
      </c>
      <c r="AG338" s="52">
        <f t="shared" si="5"/>
        <v>1.5337423312883436E-2</v>
      </c>
      <c r="AH338" s="25">
        <v>168</v>
      </c>
      <c r="AI338" s="52">
        <f t="shared" si="6"/>
        <v>1.7565112053301066E-2</v>
      </c>
      <c r="AJ338" s="25">
        <v>172.6</v>
      </c>
      <c r="AK338" s="52">
        <f t="shared" si="7"/>
        <v>2.7992852888624114E-2</v>
      </c>
      <c r="AL338" s="25">
        <v>169.5</v>
      </c>
      <c r="AM338" s="52">
        <f t="shared" si="8"/>
        <v>6.5320665083135054E-3</v>
      </c>
      <c r="AN338" s="25">
        <v>171</v>
      </c>
      <c r="AO338" s="52">
        <f t="shared" si="9"/>
        <v>2.0895522388059702E-2</v>
      </c>
      <c r="AP338" s="25">
        <v>173.6</v>
      </c>
      <c r="AQ338" s="51">
        <f t="shared" si="10"/>
        <v>1.1065812463599336E-2</v>
      </c>
    </row>
    <row r="339" spans="1:43" hidden="1" x14ac:dyDescent="0.3">
      <c r="A339" s="25" t="s">
        <v>33</v>
      </c>
      <c r="B339" s="25">
        <v>2022</v>
      </c>
      <c r="C339" s="25" t="s">
        <v>39</v>
      </c>
      <c r="D339" s="26">
        <f>DATE(B339,MATCH(TRIM(C339),{"January","February","March","April","May","June","July","August","September","October","November","December"},0),1)</f>
        <v>44713</v>
      </c>
      <c r="E339" s="25">
        <v>157.5</v>
      </c>
      <c r="F339" s="25">
        <v>223.4</v>
      </c>
      <c r="G339" s="25">
        <v>172.8</v>
      </c>
      <c r="H339" s="25">
        <v>166.4</v>
      </c>
      <c r="I339" s="25">
        <v>188.6</v>
      </c>
      <c r="J339" s="25">
        <v>174.1</v>
      </c>
      <c r="K339" s="25">
        <v>211.5</v>
      </c>
      <c r="L339" s="25">
        <v>163.6</v>
      </c>
      <c r="M339" s="25">
        <v>121.4</v>
      </c>
      <c r="N339" s="25">
        <v>183.5</v>
      </c>
      <c r="O339" s="25">
        <v>159.1</v>
      </c>
      <c r="P339" s="25">
        <v>186.3</v>
      </c>
      <c r="Q339" s="25">
        <v>179.3</v>
      </c>
      <c r="R339" s="52">
        <f t="shared" si="0"/>
        <v>4.0023201856148521E-2</v>
      </c>
      <c r="S339" s="25">
        <v>198.3</v>
      </c>
      <c r="T339" s="52">
        <f t="shared" si="1"/>
        <v>2.7993779160186655E-2</v>
      </c>
      <c r="U339" s="25">
        <v>171.6</v>
      </c>
      <c r="V339" s="25">
        <v>157.4</v>
      </c>
      <c r="W339" s="25">
        <v>169.4</v>
      </c>
      <c r="X339" s="52">
        <f t="shared" si="2"/>
        <v>-6.097560975609756E-2</v>
      </c>
      <c r="Y339" s="25">
        <v>166.8</v>
      </c>
      <c r="Z339" s="25">
        <v>174.9</v>
      </c>
      <c r="AA339" s="52">
        <f t="shared" si="11"/>
        <v>-1.0186757215619598E-2</v>
      </c>
      <c r="AB339" s="25">
        <v>162.1</v>
      </c>
      <c r="AC339" s="52">
        <f t="shared" si="3"/>
        <v>-4.8150322959483363E-2</v>
      </c>
      <c r="AD339" s="25">
        <v>170.9</v>
      </c>
      <c r="AE339" s="52">
        <f t="shared" si="4"/>
        <v>-4.0965207631874202E-2</v>
      </c>
      <c r="AF339" s="25">
        <v>157.19999999999999</v>
      </c>
      <c r="AG339" s="52">
        <f t="shared" si="5"/>
        <v>-5.0151057401812756E-2</v>
      </c>
      <c r="AH339" s="25">
        <v>164.1</v>
      </c>
      <c r="AI339" s="52">
        <f t="shared" si="6"/>
        <v>-2.321428571428575E-2</v>
      </c>
      <c r="AJ339" s="25">
        <v>166.5</v>
      </c>
      <c r="AK339" s="52">
        <f t="shared" si="7"/>
        <v>-3.5341830822711438E-2</v>
      </c>
      <c r="AL339" s="25">
        <v>169.2</v>
      </c>
      <c r="AM339" s="52">
        <f t="shared" si="8"/>
        <v>-1.7699115044248457E-3</v>
      </c>
      <c r="AN339" s="25">
        <v>163.80000000000001</v>
      </c>
      <c r="AO339" s="52">
        <f t="shared" si="9"/>
        <v>-4.2105263157894673E-2</v>
      </c>
      <c r="AP339" s="25">
        <v>171.4</v>
      </c>
      <c r="AQ339" s="51">
        <f t="shared" si="10"/>
        <v>-1.2672811059907769E-2</v>
      </c>
    </row>
    <row r="340" spans="1:43" x14ac:dyDescent="0.3">
      <c r="A340" s="25" t="s">
        <v>34</v>
      </c>
      <c r="B340" s="25">
        <v>2022</v>
      </c>
      <c r="C340" s="25" t="s">
        <v>39</v>
      </c>
      <c r="D340" s="26">
        <f>DATE(B340,MATCH(TRIM(C340),{"January","February","March","April","May","June","July","August","September","October","November","December"},0),1)</f>
        <v>44713</v>
      </c>
      <c r="E340" s="25">
        <v>155</v>
      </c>
      <c r="F340" s="25">
        <v>219.4</v>
      </c>
      <c r="G340" s="25">
        <v>170.8</v>
      </c>
      <c r="H340" s="25">
        <v>165.8</v>
      </c>
      <c r="I340" s="25">
        <v>200.9</v>
      </c>
      <c r="J340" s="25">
        <v>169.7</v>
      </c>
      <c r="K340" s="25">
        <v>182.3</v>
      </c>
      <c r="L340" s="25">
        <v>164.3</v>
      </c>
      <c r="M340" s="25">
        <v>119.9</v>
      </c>
      <c r="N340" s="25">
        <v>187.1</v>
      </c>
      <c r="O340" s="25">
        <v>167.9</v>
      </c>
      <c r="P340" s="25">
        <v>183.9</v>
      </c>
      <c r="Q340" s="25">
        <v>174.9</v>
      </c>
      <c r="R340" s="52">
        <f t="shared" si="0"/>
        <v>-2.4539877300613529E-2</v>
      </c>
      <c r="S340" s="25">
        <v>194.3</v>
      </c>
      <c r="T340" s="52">
        <f t="shared" si="1"/>
        <v>-2.0171457387796268E-2</v>
      </c>
      <c r="U340" s="25">
        <v>177.1</v>
      </c>
      <c r="V340" s="25">
        <v>169.9</v>
      </c>
      <c r="W340" s="25">
        <v>176</v>
      </c>
      <c r="X340" s="52">
        <f t="shared" si="2"/>
        <v>3.8961038961038925E-2</v>
      </c>
      <c r="Y340" s="25">
        <v>166.8</v>
      </c>
      <c r="Z340" s="25">
        <v>176</v>
      </c>
      <c r="AA340" s="52">
        <f t="shared" si="11"/>
        <v>6.2893081761005963E-3</v>
      </c>
      <c r="AB340" s="25">
        <v>166.4</v>
      </c>
      <c r="AC340" s="52">
        <f t="shared" si="3"/>
        <v>2.6526835286860034E-2</v>
      </c>
      <c r="AD340" s="25">
        <v>175.4</v>
      </c>
      <c r="AE340" s="52">
        <f t="shared" si="4"/>
        <v>2.6331187829139846E-2</v>
      </c>
      <c r="AF340" s="25">
        <v>161.1</v>
      </c>
      <c r="AG340" s="52">
        <f t="shared" si="5"/>
        <v>2.4809160305343549E-2</v>
      </c>
      <c r="AH340" s="25">
        <v>165.8</v>
      </c>
      <c r="AI340" s="52">
        <f t="shared" si="6"/>
        <v>1.0359536867763664E-2</v>
      </c>
      <c r="AJ340" s="25">
        <v>169</v>
      </c>
      <c r="AK340" s="52">
        <f t="shared" si="7"/>
        <v>1.5015015015015015E-2</v>
      </c>
      <c r="AL340" s="25">
        <v>169.4</v>
      </c>
      <c r="AM340" s="52">
        <f t="shared" si="8"/>
        <v>1.1820330969268148E-3</v>
      </c>
      <c r="AN340" s="25">
        <v>167.5</v>
      </c>
      <c r="AO340" s="52">
        <f t="shared" si="9"/>
        <v>2.2588522588522519E-2</v>
      </c>
      <c r="AP340" s="25">
        <v>172.6</v>
      </c>
      <c r="AQ340" s="51">
        <f t="shared" si="10"/>
        <v>7.0011668611434574E-3</v>
      </c>
    </row>
    <row r="341" spans="1:43" hidden="1" x14ac:dyDescent="0.3">
      <c r="A341" s="25" t="s">
        <v>30</v>
      </c>
      <c r="B341" s="25">
        <v>2022</v>
      </c>
      <c r="C341" s="25" t="s">
        <v>40</v>
      </c>
      <c r="D341" s="26">
        <f>DATE(B341,MATCH(TRIM(C341),{"January","February","March","April","May","June","July","August","September","October","November","December"},0),1)</f>
        <v>44743</v>
      </c>
      <c r="E341" s="25">
        <v>155.19999999999999</v>
      </c>
      <c r="F341" s="25">
        <v>210.8</v>
      </c>
      <c r="G341" s="25">
        <v>174.3</v>
      </c>
      <c r="H341" s="25">
        <v>166.3</v>
      </c>
      <c r="I341" s="25">
        <v>202.2</v>
      </c>
      <c r="J341" s="25">
        <v>169.6</v>
      </c>
      <c r="K341" s="25">
        <v>168.6</v>
      </c>
      <c r="L341" s="25">
        <v>164.4</v>
      </c>
      <c r="M341" s="25">
        <v>119.2</v>
      </c>
      <c r="N341" s="25">
        <v>191.8</v>
      </c>
      <c r="O341" s="25">
        <v>174.5</v>
      </c>
      <c r="P341" s="25">
        <v>183.1</v>
      </c>
      <c r="Q341" s="25">
        <v>172.5</v>
      </c>
      <c r="R341" s="52">
        <f t="shared" si="0"/>
        <v>-1.3722126929674132E-2</v>
      </c>
      <c r="S341" s="25">
        <v>193.2</v>
      </c>
      <c r="T341" s="52">
        <f t="shared" si="1"/>
        <v>-5.6613484302625973E-3</v>
      </c>
      <c r="U341" s="25">
        <v>182</v>
      </c>
      <c r="V341" s="25">
        <v>180.3</v>
      </c>
      <c r="W341" s="25">
        <v>181.7</v>
      </c>
      <c r="X341" s="52">
        <f t="shared" si="2"/>
        <v>3.2386363636363574E-2</v>
      </c>
      <c r="Y341" s="25" t="s">
        <v>32</v>
      </c>
      <c r="Z341" s="25">
        <v>179.6</v>
      </c>
      <c r="AA341" s="52">
        <f t="shared" si="11"/>
        <v>2.0454545454545423E-2</v>
      </c>
      <c r="AB341" s="25">
        <v>171.3</v>
      </c>
      <c r="AC341" s="52">
        <f t="shared" si="3"/>
        <v>2.9447115384615419E-2</v>
      </c>
      <c r="AD341" s="25">
        <v>178.8</v>
      </c>
      <c r="AE341" s="52">
        <f t="shared" si="4"/>
        <v>1.9384264538198435E-2</v>
      </c>
      <c r="AF341" s="25">
        <v>166.3</v>
      </c>
      <c r="AG341" s="52">
        <f t="shared" si="5"/>
        <v>3.2278088144010036E-2</v>
      </c>
      <c r="AH341" s="25">
        <v>168.6</v>
      </c>
      <c r="AI341" s="52">
        <f t="shared" si="6"/>
        <v>1.6887816646562019E-2</v>
      </c>
      <c r="AJ341" s="25">
        <v>174.7</v>
      </c>
      <c r="AK341" s="52">
        <f t="shared" si="7"/>
        <v>3.3727810650887508E-2</v>
      </c>
      <c r="AL341" s="25">
        <v>169.7</v>
      </c>
      <c r="AM341" s="52">
        <f t="shared" si="8"/>
        <v>1.7709563164107611E-3</v>
      </c>
      <c r="AN341" s="25">
        <v>171.8</v>
      </c>
      <c r="AO341" s="52">
        <f t="shared" si="9"/>
        <v>2.5671641791044843E-2</v>
      </c>
      <c r="AP341" s="25">
        <v>174.3</v>
      </c>
      <c r="AQ341" s="51">
        <f t="shared" si="10"/>
        <v>9.8493626882967394E-3</v>
      </c>
    </row>
    <row r="342" spans="1:43" hidden="1" x14ac:dyDescent="0.3">
      <c r="A342" s="25" t="s">
        <v>33</v>
      </c>
      <c r="B342" s="25">
        <v>2022</v>
      </c>
      <c r="C342" s="25" t="s">
        <v>40</v>
      </c>
      <c r="D342" s="26">
        <f>DATE(B342,MATCH(TRIM(C342),{"January","February","March","April","May","June","July","August","September","October","November","December"},0),1)</f>
        <v>44743</v>
      </c>
      <c r="E342" s="25">
        <v>159.30000000000001</v>
      </c>
      <c r="F342" s="25">
        <v>217.1</v>
      </c>
      <c r="G342" s="25">
        <v>176.6</v>
      </c>
      <c r="H342" s="25">
        <v>167.1</v>
      </c>
      <c r="I342" s="25">
        <v>184.8</v>
      </c>
      <c r="J342" s="25">
        <v>179.5</v>
      </c>
      <c r="K342" s="25">
        <v>208.5</v>
      </c>
      <c r="L342" s="25">
        <v>164</v>
      </c>
      <c r="M342" s="25">
        <v>121.5</v>
      </c>
      <c r="N342" s="25">
        <v>186.3</v>
      </c>
      <c r="O342" s="25">
        <v>159.80000000000001</v>
      </c>
      <c r="P342" s="25">
        <v>187.7</v>
      </c>
      <c r="Q342" s="25">
        <v>179.4</v>
      </c>
      <c r="R342" s="52">
        <f t="shared" si="0"/>
        <v>4.0000000000000036E-2</v>
      </c>
      <c r="S342" s="25">
        <v>198.6</v>
      </c>
      <c r="T342" s="52">
        <f t="shared" si="1"/>
        <v>2.7950310559006243E-2</v>
      </c>
      <c r="U342" s="25">
        <v>172.7</v>
      </c>
      <c r="V342" s="25">
        <v>158.69999999999999</v>
      </c>
      <c r="W342" s="25">
        <v>170.6</v>
      </c>
      <c r="X342" s="52">
        <f t="shared" si="2"/>
        <v>-6.1089708310401732E-2</v>
      </c>
      <c r="Y342" s="25">
        <v>167.8</v>
      </c>
      <c r="Z342" s="25">
        <v>179.5</v>
      </c>
      <c r="AA342" s="52">
        <f t="shared" si="11"/>
        <v>-5.5679287305119326E-4</v>
      </c>
      <c r="AB342" s="25">
        <v>163.1</v>
      </c>
      <c r="AC342" s="52">
        <f t="shared" si="3"/>
        <v>-4.7869235259778264E-2</v>
      </c>
      <c r="AD342" s="25">
        <v>171.7</v>
      </c>
      <c r="AE342" s="52">
        <f t="shared" si="4"/>
        <v>-3.9709172259507958E-2</v>
      </c>
      <c r="AF342" s="25">
        <v>157.4</v>
      </c>
      <c r="AG342" s="52">
        <f t="shared" si="5"/>
        <v>-5.3517739025856916E-2</v>
      </c>
      <c r="AH342" s="25">
        <v>164.6</v>
      </c>
      <c r="AI342" s="52">
        <f t="shared" si="6"/>
        <v>-2.3724792408066429E-2</v>
      </c>
      <c r="AJ342" s="25">
        <v>169.1</v>
      </c>
      <c r="AK342" s="52">
        <f t="shared" si="7"/>
        <v>-3.2054951345163105E-2</v>
      </c>
      <c r="AL342" s="25">
        <v>169.8</v>
      </c>
      <c r="AM342" s="52">
        <f t="shared" si="8"/>
        <v>5.8927519151457124E-4</v>
      </c>
      <c r="AN342" s="25">
        <v>164.7</v>
      </c>
      <c r="AO342" s="52">
        <f t="shared" si="9"/>
        <v>-4.1327124563445998E-2</v>
      </c>
      <c r="AP342" s="25">
        <v>172.3</v>
      </c>
      <c r="AQ342" s="51">
        <f t="shared" si="10"/>
        <v>-1.1474469305794606E-2</v>
      </c>
    </row>
    <row r="343" spans="1:43" x14ac:dyDescent="0.3">
      <c r="A343" s="25" t="s">
        <v>34</v>
      </c>
      <c r="B343" s="25">
        <v>2022</v>
      </c>
      <c r="C343" s="25" t="s">
        <v>40</v>
      </c>
      <c r="D343" s="26">
        <f>DATE(B343,MATCH(TRIM(C343),{"January","February","March","April","May","June","July","August","September","October","November","December"},0),1)</f>
        <v>44743</v>
      </c>
      <c r="E343" s="25">
        <v>156.5</v>
      </c>
      <c r="F343" s="25">
        <v>213</v>
      </c>
      <c r="G343" s="25">
        <v>175.2</v>
      </c>
      <c r="H343" s="25">
        <v>166.6</v>
      </c>
      <c r="I343" s="25">
        <v>195.8</v>
      </c>
      <c r="J343" s="25">
        <v>174.2</v>
      </c>
      <c r="K343" s="25">
        <v>182.1</v>
      </c>
      <c r="L343" s="25">
        <v>164.3</v>
      </c>
      <c r="M343" s="25">
        <v>120</v>
      </c>
      <c r="N343" s="25">
        <v>190</v>
      </c>
      <c r="O343" s="25">
        <v>168.4</v>
      </c>
      <c r="P343" s="25">
        <v>185.2</v>
      </c>
      <c r="Q343" s="25">
        <v>175</v>
      </c>
      <c r="R343" s="52">
        <f t="shared" si="0"/>
        <v>-2.4526198439241947E-2</v>
      </c>
      <c r="S343" s="25">
        <v>194.6</v>
      </c>
      <c r="T343" s="52">
        <f t="shared" si="1"/>
        <v>-2.014098690835851E-2</v>
      </c>
      <c r="U343" s="25">
        <v>178.3</v>
      </c>
      <c r="V343" s="25">
        <v>171.3</v>
      </c>
      <c r="W343" s="25">
        <v>177.3</v>
      </c>
      <c r="X343" s="52">
        <f t="shared" si="2"/>
        <v>3.9273153575615574E-2</v>
      </c>
      <c r="Y343" s="25">
        <v>167.8</v>
      </c>
      <c r="Z343" s="25">
        <v>179.6</v>
      </c>
      <c r="AA343" s="52">
        <f t="shared" si="11"/>
        <v>5.5710306406682073E-4</v>
      </c>
      <c r="AB343" s="25">
        <v>167.4</v>
      </c>
      <c r="AC343" s="52">
        <f t="shared" si="3"/>
        <v>2.6364193746168066E-2</v>
      </c>
      <c r="AD343" s="25">
        <v>176.1</v>
      </c>
      <c r="AE343" s="52">
        <f t="shared" si="4"/>
        <v>2.5626092020966839E-2</v>
      </c>
      <c r="AF343" s="25">
        <v>161.6</v>
      </c>
      <c r="AG343" s="52">
        <f t="shared" si="5"/>
        <v>2.6683608640406534E-2</v>
      </c>
      <c r="AH343" s="25">
        <v>166.3</v>
      </c>
      <c r="AI343" s="52">
        <f t="shared" si="6"/>
        <v>1.0328068043742511E-2</v>
      </c>
      <c r="AJ343" s="25">
        <v>171.4</v>
      </c>
      <c r="AK343" s="52">
        <f t="shared" si="7"/>
        <v>1.3601419278533479E-2</v>
      </c>
      <c r="AL343" s="25">
        <v>169.7</v>
      </c>
      <c r="AM343" s="52">
        <f t="shared" si="8"/>
        <v>-5.8892815076574045E-4</v>
      </c>
      <c r="AN343" s="25">
        <v>168.4</v>
      </c>
      <c r="AO343" s="52">
        <f t="shared" si="9"/>
        <v>2.2465088038858636E-2</v>
      </c>
      <c r="AP343" s="25">
        <v>173.4</v>
      </c>
      <c r="AQ343" s="51">
        <f t="shared" si="10"/>
        <v>6.3842135809634021E-3</v>
      </c>
    </row>
    <row r="344" spans="1:43" hidden="1" x14ac:dyDescent="0.3">
      <c r="A344" s="25" t="s">
        <v>30</v>
      </c>
      <c r="B344" s="25">
        <v>2022</v>
      </c>
      <c r="C344" s="25" t="s">
        <v>41</v>
      </c>
      <c r="D344" s="26">
        <f>DATE(B344,MATCH(TRIM(C344),{"January","February","March","April","May","June","July","August","September","October","November","December"},0),1)</f>
        <v>44774</v>
      </c>
      <c r="E344" s="25">
        <v>159.5</v>
      </c>
      <c r="F344" s="25">
        <v>204.1</v>
      </c>
      <c r="G344" s="25">
        <v>168.3</v>
      </c>
      <c r="H344" s="25">
        <v>167.9</v>
      </c>
      <c r="I344" s="25">
        <v>198.1</v>
      </c>
      <c r="J344" s="25">
        <v>169.2</v>
      </c>
      <c r="K344" s="25">
        <v>173.1</v>
      </c>
      <c r="L344" s="25">
        <v>167.1</v>
      </c>
      <c r="M344" s="25">
        <v>120.2</v>
      </c>
      <c r="N344" s="25">
        <v>195.6</v>
      </c>
      <c r="O344" s="25">
        <v>174.8</v>
      </c>
      <c r="P344" s="25">
        <v>184</v>
      </c>
      <c r="Q344" s="25">
        <v>173.9</v>
      </c>
      <c r="R344" s="52">
        <f t="shared" si="0"/>
        <v>-6.285714285714253E-3</v>
      </c>
      <c r="S344" s="25">
        <v>193.7</v>
      </c>
      <c r="T344" s="52">
        <f t="shared" si="1"/>
        <v>-4.624871531346381E-3</v>
      </c>
      <c r="U344" s="25">
        <v>183.2</v>
      </c>
      <c r="V344" s="25">
        <v>181.7</v>
      </c>
      <c r="W344" s="25">
        <v>183</v>
      </c>
      <c r="X344" s="52">
        <f t="shared" si="2"/>
        <v>3.2148900169204672E-2</v>
      </c>
      <c r="Y344" s="25" t="s">
        <v>32</v>
      </c>
      <c r="Z344" s="25">
        <v>179.1</v>
      </c>
      <c r="AA344" s="52">
        <f t="shared" si="11"/>
        <v>-2.7839643652561247E-3</v>
      </c>
      <c r="AB344" s="25">
        <v>172.3</v>
      </c>
      <c r="AC344" s="52">
        <f t="shared" si="3"/>
        <v>2.9271206690561564E-2</v>
      </c>
      <c r="AD344" s="25">
        <v>179.4</v>
      </c>
      <c r="AE344" s="52">
        <f t="shared" si="4"/>
        <v>1.8739352640545211E-2</v>
      </c>
      <c r="AF344" s="25">
        <v>166.6</v>
      </c>
      <c r="AG344" s="52">
        <f t="shared" si="5"/>
        <v>3.094059405940594E-2</v>
      </c>
      <c r="AH344" s="25">
        <v>169.3</v>
      </c>
      <c r="AI344" s="52">
        <f t="shared" si="6"/>
        <v>1.8039687312086588E-2</v>
      </c>
      <c r="AJ344" s="25">
        <v>175.7</v>
      </c>
      <c r="AK344" s="52">
        <f t="shared" si="7"/>
        <v>2.5087514585764192E-2</v>
      </c>
      <c r="AL344" s="25">
        <v>171.1</v>
      </c>
      <c r="AM344" s="52">
        <f t="shared" si="8"/>
        <v>8.2498526812021557E-3</v>
      </c>
      <c r="AN344" s="25">
        <v>172.6</v>
      </c>
      <c r="AO344" s="52">
        <f t="shared" si="9"/>
        <v>2.494061757719708E-2</v>
      </c>
      <c r="AP344" s="25">
        <v>175.3</v>
      </c>
      <c r="AQ344" s="51">
        <f t="shared" si="10"/>
        <v>1.0957324106113065E-2</v>
      </c>
    </row>
    <row r="345" spans="1:43" hidden="1" x14ac:dyDescent="0.3">
      <c r="A345" s="25" t="s">
        <v>33</v>
      </c>
      <c r="B345" s="25">
        <v>2022</v>
      </c>
      <c r="C345" s="25" t="s">
        <v>41</v>
      </c>
      <c r="D345" s="26">
        <f>DATE(B345,MATCH(TRIM(C345),{"January","February","March","April","May","June","July","August","September","October","November","December"},0),1)</f>
        <v>44774</v>
      </c>
      <c r="E345" s="25">
        <v>162.1</v>
      </c>
      <c r="F345" s="25">
        <v>210.9</v>
      </c>
      <c r="G345" s="25">
        <v>170.6</v>
      </c>
      <c r="H345" s="25">
        <v>168.4</v>
      </c>
      <c r="I345" s="25">
        <v>182.5</v>
      </c>
      <c r="J345" s="25">
        <v>177.1</v>
      </c>
      <c r="K345" s="25">
        <v>213.1</v>
      </c>
      <c r="L345" s="25">
        <v>167.3</v>
      </c>
      <c r="M345" s="25">
        <v>122.2</v>
      </c>
      <c r="N345" s="25">
        <v>189.7</v>
      </c>
      <c r="O345" s="25">
        <v>160.5</v>
      </c>
      <c r="P345" s="25">
        <v>188.9</v>
      </c>
      <c r="Q345" s="25">
        <v>180.4</v>
      </c>
      <c r="R345" s="52">
        <f t="shared" si="0"/>
        <v>3.7377803335250141E-2</v>
      </c>
      <c r="S345" s="25">
        <v>198.7</v>
      </c>
      <c r="T345" s="52">
        <f t="shared" si="1"/>
        <v>2.581311306143521E-2</v>
      </c>
      <c r="U345" s="25">
        <v>173.7</v>
      </c>
      <c r="V345" s="25">
        <v>160</v>
      </c>
      <c r="W345" s="25">
        <v>171.6</v>
      </c>
      <c r="X345" s="52">
        <f t="shared" si="2"/>
        <v>-6.2295081967213145E-2</v>
      </c>
      <c r="Y345" s="25">
        <v>169</v>
      </c>
      <c r="Z345" s="25">
        <v>178.4</v>
      </c>
      <c r="AA345" s="52">
        <f t="shared" si="11"/>
        <v>-3.9084310441093728E-3</v>
      </c>
      <c r="AB345" s="25">
        <v>164.2</v>
      </c>
      <c r="AC345" s="52">
        <f t="shared" si="3"/>
        <v>-4.701102727800361E-2</v>
      </c>
      <c r="AD345" s="25">
        <v>172.6</v>
      </c>
      <c r="AE345" s="52">
        <f t="shared" si="4"/>
        <v>-3.7904124860646662E-2</v>
      </c>
      <c r="AF345" s="25">
        <v>157.69999999999999</v>
      </c>
      <c r="AG345" s="52">
        <f t="shared" si="5"/>
        <v>-5.3421368547419003E-2</v>
      </c>
      <c r="AH345" s="25">
        <v>165.1</v>
      </c>
      <c r="AI345" s="52">
        <f t="shared" si="6"/>
        <v>-2.4808033077377535E-2</v>
      </c>
      <c r="AJ345" s="25">
        <v>169.9</v>
      </c>
      <c r="AK345" s="52">
        <f t="shared" si="7"/>
        <v>-3.3010813887307817E-2</v>
      </c>
      <c r="AL345" s="25">
        <v>171.4</v>
      </c>
      <c r="AM345" s="52">
        <f t="shared" si="8"/>
        <v>1.753360607831744E-3</v>
      </c>
      <c r="AN345" s="25">
        <v>165.4</v>
      </c>
      <c r="AO345" s="52">
        <f t="shared" si="9"/>
        <v>-4.1714947856315118E-2</v>
      </c>
      <c r="AP345" s="25">
        <v>173.1</v>
      </c>
      <c r="AQ345" s="51">
        <f t="shared" si="10"/>
        <v>-1.2549914432401693E-2</v>
      </c>
    </row>
    <row r="346" spans="1:43" x14ac:dyDescent="0.3">
      <c r="A346" s="25" t="s">
        <v>34</v>
      </c>
      <c r="B346" s="25">
        <v>2022</v>
      </c>
      <c r="C346" s="25" t="s">
        <v>41</v>
      </c>
      <c r="D346" s="26">
        <f>DATE(B346,MATCH(TRIM(C346),{"January","February","March","April","May","June","July","August","September","October","November","December"},0),1)</f>
        <v>44774</v>
      </c>
      <c r="E346" s="25">
        <v>160.30000000000001</v>
      </c>
      <c r="F346" s="25">
        <v>206.5</v>
      </c>
      <c r="G346" s="25">
        <v>169.2</v>
      </c>
      <c r="H346" s="25">
        <v>168.1</v>
      </c>
      <c r="I346" s="25">
        <v>192.4</v>
      </c>
      <c r="J346" s="25">
        <v>172.9</v>
      </c>
      <c r="K346" s="25">
        <v>186.7</v>
      </c>
      <c r="L346" s="25">
        <v>167.2</v>
      </c>
      <c r="M346" s="25">
        <v>120.9</v>
      </c>
      <c r="N346" s="25">
        <v>193.6</v>
      </c>
      <c r="O346" s="25">
        <v>168.8</v>
      </c>
      <c r="P346" s="25">
        <v>186.3</v>
      </c>
      <c r="Q346" s="25">
        <v>176.3</v>
      </c>
      <c r="R346" s="52">
        <f t="shared" si="0"/>
        <v>-2.2727272727272697E-2</v>
      </c>
      <c r="S346" s="25">
        <v>195</v>
      </c>
      <c r="T346" s="52">
        <f t="shared" si="1"/>
        <v>-1.8621036738802159E-2</v>
      </c>
      <c r="U346" s="25">
        <v>179.5</v>
      </c>
      <c r="V346" s="25">
        <v>172.7</v>
      </c>
      <c r="W346" s="25">
        <v>178.5</v>
      </c>
      <c r="X346" s="52">
        <f t="shared" si="2"/>
        <v>4.0209790209790243E-2</v>
      </c>
      <c r="Y346" s="25">
        <v>169</v>
      </c>
      <c r="Z346" s="25">
        <v>178.8</v>
      </c>
      <c r="AA346" s="52">
        <f t="shared" si="11"/>
        <v>2.2421524663677446E-3</v>
      </c>
      <c r="AB346" s="25">
        <v>168.5</v>
      </c>
      <c r="AC346" s="52">
        <f t="shared" si="3"/>
        <v>2.6187576126674859E-2</v>
      </c>
      <c r="AD346" s="25">
        <v>176.8</v>
      </c>
      <c r="AE346" s="52">
        <f t="shared" si="4"/>
        <v>2.4333719582850622E-2</v>
      </c>
      <c r="AF346" s="25">
        <v>161.9</v>
      </c>
      <c r="AG346" s="52">
        <f t="shared" si="5"/>
        <v>2.663284717818654E-2</v>
      </c>
      <c r="AH346" s="25">
        <v>166.9</v>
      </c>
      <c r="AI346" s="52">
        <f t="shared" si="6"/>
        <v>1.0902483343428294E-2</v>
      </c>
      <c r="AJ346" s="25">
        <v>172.3</v>
      </c>
      <c r="AK346" s="52">
        <f t="shared" si="7"/>
        <v>1.412595644496766E-2</v>
      </c>
      <c r="AL346" s="25">
        <v>171.2</v>
      </c>
      <c r="AM346" s="52">
        <f t="shared" si="8"/>
        <v>-1.1668611435240201E-3</v>
      </c>
      <c r="AN346" s="25">
        <v>169.1</v>
      </c>
      <c r="AO346" s="52">
        <f t="shared" si="9"/>
        <v>2.2370012091898359E-2</v>
      </c>
      <c r="AP346" s="25">
        <v>174.3</v>
      </c>
      <c r="AQ346" s="51">
        <f t="shared" si="10"/>
        <v>6.9324090121318143E-3</v>
      </c>
    </row>
    <row r="347" spans="1:43" hidden="1" x14ac:dyDescent="0.3">
      <c r="A347" s="25" t="s">
        <v>30</v>
      </c>
      <c r="B347" s="25">
        <v>2022</v>
      </c>
      <c r="C347" s="25" t="s">
        <v>42</v>
      </c>
      <c r="D347" s="26">
        <f>DATE(B347,MATCH(TRIM(C347),{"January","February","March","April","May","June","July","August","September","October","November","December"},0),1)</f>
        <v>44805</v>
      </c>
      <c r="E347" s="25">
        <v>162.9</v>
      </c>
      <c r="F347" s="25">
        <v>206.7</v>
      </c>
      <c r="G347" s="25">
        <v>169</v>
      </c>
      <c r="H347" s="25">
        <v>169.5</v>
      </c>
      <c r="I347" s="25">
        <v>194.1</v>
      </c>
      <c r="J347" s="25">
        <v>164.1</v>
      </c>
      <c r="K347" s="25">
        <v>176.9</v>
      </c>
      <c r="L347" s="25">
        <v>169</v>
      </c>
      <c r="M347" s="25">
        <v>120.8</v>
      </c>
      <c r="N347" s="25">
        <v>199.1</v>
      </c>
      <c r="O347" s="25">
        <v>175.4</v>
      </c>
      <c r="P347" s="25">
        <v>184.8</v>
      </c>
      <c r="Q347" s="25">
        <v>175.5</v>
      </c>
      <c r="R347" s="52">
        <f t="shared" si="0"/>
        <v>-4.5377197958026737E-3</v>
      </c>
      <c r="S347" s="25">
        <v>194.5</v>
      </c>
      <c r="T347" s="52">
        <f t="shared" si="1"/>
        <v>-2.5641025641025641E-3</v>
      </c>
      <c r="U347" s="25">
        <v>184.7</v>
      </c>
      <c r="V347" s="25">
        <v>183.3</v>
      </c>
      <c r="W347" s="25">
        <v>184.5</v>
      </c>
      <c r="X347" s="52">
        <f t="shared" si="2"/>
        <v>3.3613445378151259E-2</v>
      </c>
      <c r="Y347" s="25" t="s">
        <v>32</v>
      </c>
      <c r="Z347" s="25">
        <v>179.7</v>
      </c>
      <c r="AA347" s="52">
        <f t="shared" si="11"/>
        <v>5.0335570469797379E-3</v>
      </c>
      <c r="AB347" s="25">
        <v>173.6</v>
      </c>
      <c r="AC347" s="52">
        <f t="shared" si="3"/>
        <v>3.0267062314540027E-2</v>
      </c>
      <c r="AD347" s="25">
        <v>180.2</v>
      </c>
      <c r="AE347" s="52">
        <f t="shared" si="4"/>
        <v>1.92307692307691E-2</v>
      </c>
      <c r="AF347" s="25">
        <v>166.9</v>
      </c>
      <c r="AG347" s="52">
        <f t="shared" si="5"/>
        <v>3.0883261272390362E-2</v>
      </c>
      <c r="AH347" s="25">
        <v>170</v>
      </c>
      <c r="AI347" s="52">
        <f t="shared" si="6"/>
        <v>1.8573996405032919E-2</v>
      </c>
      <c r="AJ347" s="25">
        <v>176.2</v>
      </c>
      <c r="AK347" s="52">
        <f t="shared" si="7"/>
        <v>2.263493905977932E-2</v>
      </c>
      <c r="AL347" s="25">
        <v>170.8</v>
      </c>
      <c r="AM347" s="52">
        <f t="shared" si="8"/>
        <v>-2.3364485981307087E-3</v>
      </c>
      <c r="AN347" s="25">
        <v>173.1</v>
      </c>
      <c r="AO347" s="52">
        <f t="shared" si="9"/>
        <v>2.365464222353637E-2</v>
      </c>
      <c r="AP347" s="25">
        <v>176.4</v>
      </c>
      <c r="AQ347" s="51">
        <f t="shared" si="10"/>
        <v>1.2048192771084303E-2</v>
      </c>
    </row>
    <row r="348" spans="1:43" hidden="1" x14ac:dyDescent="0.3">
      <c r="A348" s="25" t="s">
        <v>33</v>
      </c>
      <c r="B348" s="25">
        <v>2022</v>
      </c>
      <c r="C348" s="25" t="s">
        <v>42</v>
      </c>
      <c r="D348" s="26">
        <f>DATE(B348,MATCH(TRIM(C348),{"January","February","March","April","May","June","July","August","September","October","November","December"},0),1)</f>
        <v>44805</v>
      </c>
      <c r="E348" s="25">
        <v>164.9</v>
      </c>
      <c r="F348" s="25">
        <v>213.7</v>
      </c>
      <c r="G348" s="25">
        <v>170.9</v>
      </c>
      <c r="H348" s="25">
        <v>170.1</v>
      </c>
      <c r="I348" s="25">
        <v>179.3</v>
      </c>
      <c r="J348" s="25">
        <v>167.5</v>
      </c>
      <c r="K348" s="25">
        <v>220.8</v>
      </c>
      <c r="L348" s="25">
        <v>169.2</v>
      </c>
      <c r="M348" s="25">
        <v>123.1</v>
      </c>
      <c r="N348" s="25">
        <v>193.6</v>
      </c>
      <c r="O348" s="25">
        <v>161.1</v>
      </c>
      <c r="P348" s="25">
        <v>190.4</v>
      </c>
      <c r="Q348" s="25">
        <v>181.8</v>
      </c>
      <c r="R348" s="52">
        <f t="shared" si="0"/>
        <v>3.5897435897435964E-2</v>
      </c>
      <c r="S348" s="25">
        <v>199.7</v>
      </c>
      <c r="T348" s="52">
        <f t="shared" si="1"/>
        <v>2.673521850899737E-2</v>
      </c>
      <c r="U348" s="25">
        <v>175</v>
      </c>
      <c r="V348" s="25">
        <v>161.69999999999999</v>
      </c>
      <c r="W348" s="25">
        <v>173</v>
      </c>
      <c r="X348" s="52">
        <f t="shared" si="2"/>
        <v>-6.2330623306233061E-2</v>
      </c>
      <c r="Y348" s="25">
        <v>169.5</v>
      </c>
      <c r="Z348" s="25">
        <v>179.2</v>
      </c>
      <c r="AA348" s="52">
        <f t="shared" si="11"/>
        <v>-2.782415136338342E-3</v>
      </c>
      <c r="AB348" s="25">
        <v>165</v>
      </c>
      <c r="AC348" s="52">
        <f t="shared" si="3"/>
        <v>-4.9539170506912408E-2</v>
      </c>
      <c r="AD348" s="25">
        <v>173.8</v>
      </c>
      <c r="AE348" s="52">
        <f t="shared" si="4"/>
        <v>-3.5516093229744604E-2</v>
      </c>
      <c r="AF348" s="25">
        <v>158.19999999999999</v>
      </c>
      <c r="AG348" s="52">
        <f t="shared" si="5"/>
        <v>-5.2127022168963554E-2</v>
      </c>
      <c r="AH348" s="25">
        <v>165.8</v>
      </c>
      <c r="AI348" s="52">
        <f t="shared" si="6"/>
        <v>-2.4705882352941109E-2</v>
      </c>
      <c r="AJ348" s="25">
        <v>170.9</v>
      </c>
      <c r="AK348" s="52">
        <f t="shared" si="7"/>
        <v>-3.0079455164585604E-2</v>
      </c>
      <c r="AL348" s="25">
        <v>171.1</v>
      </c>
      <c r="AM348" s="52">
        <f t="shared" si="8"/>
        <v>1.756440281030345E-3</v>
      </c>
      <c r="AN348" s="25">
        <v>166.1</v>
      </c>
      <c r="AO348" s="52">
        <f t="shared" si="9"/>
        <v>-4.0439052570768345E-2</v>
      </c>
      <c r="AP348" s="25">
        <v>174.1</v>
      </c>
      <c r="AQ348" s="51">
        <f t="shared" si="10"/>
        <v>-1.3038548752834531E-2</v>
      </c>
    </row>
    <row r="349" spans="1:43" x14ac:dyDescent="0.3">
      <c r="A349" s="25" t="s">
        <v>34</v>
      </c>
      <c r="B349" s="25">
        <v>2022</v>
      </c>
      <c r="C349" s="25" t="s">
        <v>42</v>
      </c>
      <c r="D349" s="26">
        <f>DATE(B349,MATCH(TRIM(C349),{"January","February","March","April","May","June","July","August","September","October","November","December"},0),1)</f>
        <v>44805</v>
      </c>
      <c r="E349" s="25">
        <v>163.5</v>
      </c>
      <c r="F349" s="25">
        <v>209.2</v>
      </c>
      <c r="G349" s="25">
        <v>169.7</v>
      </c>
      <c r="H349" s="25">
        <v>169.7</v>
      </c>
      <c r="I349" s="25">
        <v>188.7</v>
      </c>
      <c r="J349" s="25">
        <v>165.7</v>
      </c>
      <c r="K349" s="25">
        <v>191.8</v>
      </c>
      <c r="L349" s="25">
        <v>169.1</v>
      </c>
      <c r="M349" s="25">
        <v>121.6</v>
      </c>
      <c r="N349" s="25">
        <v>197.3</v>
      </c>
      <c r="O349" s="25">
        <v>169.4</v>
      </c>
      <c r="P349" s="25">
        <v>187.4</v>
      </c>
      <c r="Q349" s="25">
        <v>177.8</v>
      </c>
      <c r="R349" s="52">
        <f t="shared" si="0"/>
        <v>-2.2002200220022E-2</v>
      </c>
      <c r="S349" s="25">
        <v>195.9</v>
      </c>
      <c r="T349" s="52">
        <f t="shared" si="1"/>
        <v>-1.9028542814221248E-2</v>
      </c>
      <c r="U349" s="25">
        <v>180.9</v>
      </c>
      <c r="V349" s="25">
        <v>174.3</v>
      </c>
      <c r="W349" s="25">
        <v>179.9</v>
      </c>
      <c r="X349" s="52">
        <f t="shared" si="2"/>
        <v>3.9884393063583851E-2</v>
      </c>
      <c r="Y349" s="25">
        <v>169.5</v>
      </c>
      <c r="Z349" s="25">
        <v>179.5</v>
      </c>
      <c r="AA349" s="52">
        <f t="shared" si="11"/>
        <v>1.6741071428572063E-3</v>
      </c>
      <c r="AB349" s="25">
        <v>169.5</v>
      </c>
      <c r="AC349" s="52">
        <f t="shared" si="3"/>
        <v>2.7272727272727271E-2</v>
      </c>
      <c r="AD349" s="25">
        <v>177.8</v>
      </c>
      <c r="AE349" s="52">
        <f t="shared" si="4"/>
        <v>2.3014959723820481E-2</v>
      </c>
      <c r="AF349" s="25">
        <v>162.30000000000001</v>
      </c>
      <c r="AG349" s="52">
        <f t="shared" si="5"/>
        <v>2.5916561314791548E-2</v>
      </c>
      <c r="AH349" s="25">
        <v>167.6</v>
      </c>
      <c r="AI349" s="52">
        <f t="shared" si="6"/>
        <v>1.0856453558504118E-2</v>
      </c>
      <c r="AJ349" s="25">
        <v>173.1</v>
      </c>
      <c r="AK349" s="52">
        <f t="shared" si="7"/>
        <v>1.2873025160912748E-2</v>
      </c>
      <c r="AL349" s="25">
        <v>170.9</v>
      </c>
      <c r="AM349" s="52">
        <f t="shared" si="8"/>
        <v>-1.1689070718877185E-3</v>
      </c>
      <c r="AN349" s="25">
        <v>169.7</v>
      </c>
      <c r="AO349" s="52">
        <f t="shared" si="9"/>
        <v>2.1673690547862699E-2</v>
      </c>
      <c r="AP349" s="25">
        <v>175.3</v>
      </c>
      <c r="AQ349" s="51">
        <f t="shared" si="10"/>
        <v>6.8925904652499545E-3</v>
      </c>
    </row>
    <row r="350" spans="1:43" hidden="1" x14ac:dyDescent="0.3">
      <c r="A350" s="25" t="s">
        <v>30</v>
      </c>
      <c r="B350" s="25">
        <v>2022</v>
      </c>
      <c r="C350" s="25" t="s">
        <v>43</v>
      </c>
      <c r="D350" s="26">
        <f>DATE(B350,MATCH(TRIM(C350),{"January","February","March","April","May","June","July","August","September","October","November","December"},0),1)</f>
        <v>44835</v>
      </c>
      <c r="E350" s="25">
        <v>164.7</v>
      </c>
      <c r="F350" s="25">
        <v>208.8</v>
      </c>
      <c r="G350" s="25">
        <v>170.3</v>
      </c>
      <c r="H350" s="25">
        <v>170.9</v>
      </c>
      <c r="I350" s="25">
        <v>191.6</v>
      </c>
      <c r="J350" s="25">
        <v>162.19999999999999</v>
      </c>
      <c r="K350" s="25">
        <v>184.8</v>
      </c>
      <c r="L350" s="25">
        <v>169.7</v>
      </c>
      <c r="M350" s="25">
        <v>121.1</v>
      </c>
      <c r="N350" s="25">
        <v>201.6</v>
      </c>
      <c r="O350" s="25">
        <v>175.8</v>
      </c>
      <c r="P350" s="25">
        <v>185.6</v>
      </c>
      <c r="Q350" s="25">
        <v>177.4</v>
      </c>
      <c r="R350" s="52">
        <f t="shared" si="0"/>
        <v>-2.2497187851518879E-3</v>
      </c>
      <c r="S350" s="25">
        <v>194.9</v>
      </c>
      <c r="T350" s="52">
        <f t="shared" si="1"/>
        <v>-5.1046452271567124E-3</v>
      </c>
      <c r="U350" s="25">
        <v>186.1</v>
      </c>
      <c r="V350" s="25">
        <v>184.4</v>
      </c>
      <c r="W350" s="25">
        <v>185.9</v>
      </c>
      <c r="X350" s="52">
        <f t="shared" si="2"/>
        <v>3.3351862145636464E-2</v>
      </c>
      <c r="Y350" s="25" t="s">
        <v>32</v>
      </c>
      <c r="Z350" s="25">
        <v>180.8</v>
      </c>
      <c r="AA350" s="52">
        <f t="shared" si="11"/>
        <v>7.2423398328691439E-3</v>
      </c>
      <c r="AB350" s="25">
        <v>174.4</v>
      </c>
      <c r="AC350" s="52">
        <f t="shared" si="3"/>
        <v>2.8908554572271421E-2</v>
      </c>
      <c r="AD350" s="25">
        <v>181.2</v>
      </c>
      <c r="AE350" s="52">
        <f t="shared" si="4"/>
        <v>1.9122609673790647E-2</v>
      </c>
      <c r="AF350" s="25">
        <v>167.4</v>
      </c>
      <c r="AG350" s="52">
        <f t="shared" si="5"/>
        <v>3.1423290203327132E-2</v>
      </c>
      <c r="AH350" s="25">
        <v>170.6</v>
      </c>
      <c r="AI350" s="52">
        <f t="shared" si="6"/>
        <v>1.7899761336515514E-2</v>
      </c>
      <c r="AJ350" s="25">
        <v>176.5</v>
      </c>
      <c r="AK350" s="52">
        <f t="shared" si="7"/>
        <v>1.9641825534373228E-2</v>
      </c>
      <c r="AL350" s="25">
        <v>172</v>
      </c>
      <c r="AM350" s="52">
        <f t="shared" si="8"/>
        <v>6.4365125804563741E-3</v>
      </c>
      <c r="AN350" s="25">
        <v>173.9</v>
      </c>
      <c r="AO350" s="52">
        <f t="shared" si="9"/>
        <v>2.4749558043606467E-2</v>
      </c>
      <c r="AP350" s="25">
        <v>177.9</v>
      </c>
      <c r="AQ350" s="51">
        <f t="shared" si="10"/>
        <v>1.4831717056474581E-2</v>
      </c>
    </row>
    <row r="351" spans="1:43" hidden="1" x14ac:dyDescent="0.3">
      <c r="A351" s="25" t="s">
        <v>33</v>
      </c>
      <c r="B351" s="25">
        <v>2022</v>
      </c>
      <c r="C351" s="25" t="s">
        <v>43</v>
      </c>
      <c r="D351" s="26">
        <f>DATE(B351,MATCH(TRIM(C351),{"January","February","March","April","May","June","July","August","September","October","November","December"},0),1)</f>
        <v>44835</v>
      </c>
      <c r="E351" s="25">
        <v>166.4</v>
      </c>
      <c r="F351" s="25">
        <v>214.9</v>
      </c>
      <c r="G351" s="25">
        <v>171.9</v>
      </c>
      <c r="H351" s="25">
        <v>171</v>
      </c>
      <c r="I351" s="25">
        <v>177.7</v>
      </c>
      <c r="J351" s="25">
        <v>165.7</v>
      </c>
      <c r="K351" s="25">
        <v>228.6</v>
      </c>
      <c r="L351" s="25">
        <v>169.9</v>
      </c>
      <c r="M351" s="25">
        <v>123.4</v>
      </c>
      <c r="N351" s="25">
        <v>196.4</v>
      </c>
      <c r="O351" s="25">
        <v>161.6</v>
      </c>
      <c r="P351" s="25">
        <v>191.5</v>
      </c>
      <c r="Q351" s="25">
        <v>183.3</v>
      </c>
      <c r="R351" s="52">
        <f t="shared" si="0"/>
        <v>3.3258173618940276E-2</v>
      </c>
      <c r="S351" s="25">
        <v>200.1</v>
      </c>
      <c r="T351" s="52">
        <f t="shared" si="1"/>
        <v>2.668034889687013E-2</v>
      </c>
      <c r="U351" s="25">
        <v>175.5</v>
      </c>
      <c r="V351" s="25">
        <v>162.6</v>
      </c>
      <c r="W351" s="25">
        <v>173.6</v>
      </c>
      <c r="X351" s="52">
        <f t="shared" si="2"/>
        <v>-6.6164604626143153E-2</v>
      </c>
      <c r="Y351" s="25">
        <v>171.2</v>
      </c>
      <c r="Z351" s="25">
        <v>180</v>
      </c>
      <c r="AA351" s="52">
        <f t="shared" si="11"/>
        <v>-4.4247787610620093E-3</v>
      </c>
      <c r="AB351" s="25">
        <v>166</v>
      </c>
      <c r="AC351" s="52">
        <f t="shared" si="3"/>
        <v>-4.816513761467893E-2</v>
      </c>
      <c r="AD351" s="25">
        <v>174.7</v>
      </c>
      <c r="AE351" s="52">
        <f t="shared" si="4"/>
        <v>-3.5871964679911703E-2</v>
      </c>
      <c r="AF351" s="25">
        <v>158.80000000000001</v>
      </c>
      <c r="AG351" s="52">
        <f t="shared" si="5"/>
        <v>-5.1373954599761018E-2</v>
      </c>
      <c r="AH351" s="25">
        <v>166.3</v>
      </c>
      <c r="AI351" s="52">
        <f t="shared" si="6"/>
        <v>-2.5205158264947146E-2</v>
      </c>
      <c r="AJ351" s="25">
        <v>171.2</v>
      </c>
      <c r="AK351" s="52">
        <f t="shared" si="7"/>
        <v>-3.0028328611898081E-2</v>
      </c>
      <c r="AL351" s="25">
        <v>172.3</v>
      </c>
      <c r="AM351" s="52">
        <f t="shared" si="8"/>
        <v>1.744186046511694E-3</v>
      </c>
      <c r="AN351" s="25">
        <v>166.8</v>
      </c>
      <c r="AO351" s="52">
        <f t="shared" si="9"/>
        <v>-4.0828062104657815E-2</v>
      </c>
      <c r="AP351" s="25">
        <v>175.3</v>
      </c>
      <c r="AQ351" s="51">
        <f t="shared" si="10"/>
        <v>-1.4614952220348478E-2</v>
      </c>
    </row>
    <row r="352" spans="1:43" x14ac:dyDescent="0.3">
      <c r="A352" s="25" t="s">
        <v>34</v>
      </c>
      <c r="B352" s="25">
        <v>2022</v>
      </c>
      <c r="C352" s="25" t="s">
        <v>43</v>
      </c>
      <c r="D352" s="26">
        <f>DATE(B352,MATCH(TRIM(C352),{"January","February","March","April","May","June","July","August","September","October","November","December"},0),1)</f>
        <v>44835</v>
      </c>
      <c r="E352" s="25">
        <v>165.2</v>
      </c>
      <c r="F352" s="25">
        <v>210.9</v>
      </c>
      <c r="G352" s="25">
        <v>170.9</v>
      </c>
      <c r="H352" s="25">
        <v>170.9</v>
      </c>
      <c r="I352" s="25">
        <v>186.5</v>
      </c>
      <c r="J352" s="25">
        <v>163.80000000000001</v>
      </c>
      <c r="K352" s="25">
        <v>199.7</v>
      </c>
      <c r="L352" s="25">
        <v>169.8</v>
      </c>
      <c r="M352" s="25">
        <v>121.9</v>
      </c>
      <c r="N352" s="25">
        <v>199.9</v>
      </c>
      <c r="O352" s="25">
        <v>169.9</v>
      </c>
      <c r="P352" s="25">
        <v>188.3</v>
      </c>
      <c r="Q352" s="25">
        <v>179.6</v>
      </c>
      <c r="R352" s="52">
        <f t="shared" si="0"/>
        <v>-2.0185488270594746E-2</v>
      </c>
      <c r="S352" s="25">
        <v>196.3</v>
      </c>
      <c r="T352" s="52">
        <f t="shared" si="1"/>
        <v>-1.8990504747626102E-2</v>
      </c>
      <c r="U352" s="25">
        <v>181.9</v>
      </c>
      <c r="V352" s="25">
        <v>175.3</v>
      </c>
      <c r="W352" s="25">
        <v>181</v>
      </c>
      <c r="X352" s="52">
        <f t="shared" si="2"/>
        <v>4.2626728110599116E-2</v>
      </c>
      <c r="Y352" s="25">
        <v>171.2</v>
      </c>
      <c r="Z352" s="25">
        <v>180.5</v>
      </c>
      <c r="AA352" s="52">
        <f t="shared" si="11"/>
        <v>2.7777777777777779E-3</v>
      </c>
      <c r="AB352" s="25">
        <v>170.4</v>
      </c>
      <c r="AC352" s="52">
        <f t="shared" si="3"/>
        <v>2.6506024096385576E-2</v>
      </c>
      <c r="AD352" s="25">
        <v>178.7</v>
      </c>
      <c r="AE352" s="52">
        <f t="shared" si="4"/>
        <v>2.2896393817973669E-2</v>
      </c>
      <c r="AF352" s="25">
        <v>162.9</v>
      </c>
      <c r="AG352" s="52">
        <f t="shared" si="5"/>
        <v>2.5818639798488627E-2</v>
      </c>
      <c r="AH352" s="25">
        <v>168.2</v>
      </c>
      <c r="AI352" s="52">
        <f t="shared" si="6"/>
        <v>1.1425135297654702E-2</v>
      </c>
      <c r="AJ352" s="25">
        <v>173.4</v>
      </c>
      <c r="AK352" s="52">
        <f t="shared" si="7"/>
        <v>1.2850467289719726E-2</v>
      </c>
      <c r="AL352" s="25">
        <v>172.1</v>
      </c>
      <c r="AM352" s="52">
        <f t="shared" si="8"/>
        <v>-1.1607661056298145E-3</v>
      </c>
      <c r="AN352" s="25">
        <v>170.5</v>
      </c>
      <c r="AO352" s="52">
        <f t="shared" si="9"/>
        <v>2.2182254196642617E-2</v>
      </c>
      <c r="AP352" s="25">
        <v>176.7</v>
      </c>
      <c r="AQ352" s="51">
        <f t="shared" si="10"/>
        <v>7.9863091842554308E-3</v>
      </c>
    </row>
    <row r="353" spans="1:43" hidden="1" x14ac:dyDescent="0.3">
      <c r="A353" s="25" t="s">
        <v>30</v>
      </c>
      <c r="B353" s="25">
        <v>2022</v>
      </c>
      <c r="C353" s="25" t="s">
        <v>45</v>
      </c>
      <c r="D353" s="26">
        <f>DATE(B353,MATCH(TRIM(C353),{"January","February","March","April","May","June","July","August","September","October","November","December"},0),1)</f>
        <v>44866</v>
      </c>
      <c r="E353" s="25">
        <v>166.9</v>
      </c>
      <c r="F353" s="25">
        <v>207.2</v>
      </c>
      <c r="G353" s="25">
        <v>180.2</v>
      </c>
      <c r="H353" s="25">
        <v>172.3</v>
      </c>
      <c r="I353" s="25">
        <v>194</v>
      </c>
      <c r="J353" s="25">
        <v>159.1</v>
      </c>
      <c r="K353" s="25">
        <v>171.6</v>
      </c>
      <c r="L353" s="25">
        <v>170.2</v>
      </c>
      <c r="M353" s="25">
        <v>121.5</v>
      </c>
      <c r="N353" s="25">
        <v>204.8</v>
      </c>
      <c r="O353" s="25">
        <v>176.4</v>
      </c>
      <c r="P353" s="25">
        <v>186.9</v>
      </c>
      <c r="Q353" s="25">
        <v>176.6</v>
      </c>
      <c r="R353" s="52">
        <f t="shared" ref="R353:R367" si="12">(Q353-Q352)/Q352</f>
        <v>-1.670378619153675E-2</v>
      </c>
      <c r="S353" s="25">
        <v>195.5</v>
      </c>
      <c r="T353" s="52">
        <f t="shared" ref="T353:T367" si="13">(S353-S352)/S352</f>
        <v>-4.0753948038716832E-3</v>
      </c>
      <c r="U353" s="25">
        <v>187.2</v>
      </c>
      <c r="V353" s="25">
        <v>185.2</v>
      </c>
      <c r="W353" s="25">
        <v>186.9</v>
      </c>
      <c r="X353" s="52">
        <f t="shared" ref="X353:X367" si="14">(W353-W352)/W352</f>
        <v>3.2596685082872959E-2</v>
      </c>
      <c r="Y353" s="25" t="s">
        <v>32</v>
      </c>
      <c r="Z353" s="25">
        <v>181.9</v>
      </c>
      <c r="AA353" s="52">
        <f t="shared" ref="AA353:AA367" si="15">(Z353-Z352)/Z352</f>
        <v>7.7562326869806408E-3</v>
      </c>
      <c r="AB353" s="25">
        <v>175.5</v>
      </c>
      <c r="AC353" s="52">
        <f t="shared" ref="AC353:AC367" si="16">(AB353-AB352)/AB352</f>
        <v>2.9929577464788699E-2</v>
      </c>
      <c r="AD353" s="25">
        <v>182.3</v>
      </c>
      <c r="AE353" s="52">
        <f t="shared" ref="AE353:AE367" si="17">(AD353-AD352)/AD352</f>
        <v>2.0145495243424863E-2</v>
      </c>
      <c r="AF353" s="25">
        <v>167.5</v>
      </c>
      <c r="AG353" s="52">
        <f t="shared" ref="AG353:AG367" si="18">(AF353-AF352)/AF352</f>
        <v>2.8238182934315494E-2</v>
      </c>
      <c r="AH353" s="25">
        <v>170.8</v>
      </c>
      <c r="AI353" s="52">
        <f t="shared" ref="AI353:AI367" si="19">(AH353-AH352)/AH352</f>
        <v>1.5457788347205844E-2</v>
      </c>
      <c r="AJ353" s="25">
        <v>176.9</v>
      </c>
      <c r="AK353" s="52">
        <f t="shared" ref="AK353:AK367" si="20">(AJ353-AJ352)/AJ352</f>
        <v>2.0184544405997693E-2</v>
      </c>
      <c r="AL353" s="25">
        <v>173.4</v>
      </c>
      <c r="AM353" s="52">
        <f t="shared" ref="AM353:AM367" si="21">(AL353-AL352)/AL352</f>
        <v>7.5537478210343486E-3</v>
      </c>
      <c r="AN353" s="25">
        <v>174.6</v>
      </c>
      <c r="AO353" s="52">
        <f t="shared" ref="AO353:AO367" si="22">(AN353-AN352)/AN352</f>
        <v>2.4046920821114336E-2</v>
      </c>
      <c r="AP353" s="25">
        <v>177.8</v>
      </c>
      <c r="AQ353" s="51">
        <f t="shared" ref="AQ353:AQ367" si="23">(AP353-AP352)/AP352</f>
        <v>6.2252405206566089E-3</v>
      </c>
    </row>
    <row r="354" spans="1:43" hidden="1" x14ac:dyDescent="0.3">
      <c r="A354" s="25" t="s">
        <v>33</v>
      </c>
      <c r="B354" s="25">
        <v>2022</v>
      </c>
      <c r="C354" s="25" t="s">
        <v>45</v>
      </c>
      <c r="D354" s="26">
        <f>DATE(B354,MATCH(TRIM(C354),{"January","February","March","April","May","June","July","August","September","October","November","December"},0),1)</f>
        <v>44866</v>
      </c>
      <c r="E354" s="25">
        <v>168.4</v>
      </c>
      <c r="F354" s="25">
        <v>213.4</v>
      </c>
      <c r="G354" s="25">
        <v>183.2</v>
      </c>
      <c r="H354" s="25">
        <v>172.3</v>
      </c>
      <c r="I354" s="25">
        <v>180</v>
      </c>
      <c r="J354" s="25">
        <v>162.6</v>
      </c>
      <c r="K354" s="25">
        <v>205.5</v>
      </c>
      <c r="L354" s="25">
        <v>171</v>
      </c>
      <c r="M354" s="25">
        <v>123.4</v>
      </c>
      <c r="N354" s="25">
        <v>198.8</v>
      </c>
      <c r="O354" s="25">
        <v>162.1</v>
      </c>
      <c r="P354" s="25">
        <v>192.4</v>
      </c>
      <c r="Q354" s="25">
        <v>181.3</v>
      </c>
      <c r="R354" s="52">
        <f t="shared" si="12"/>
        <v>2.6613816534541434E-2</v>
      </c>
      <c r="S354" s="25">
        <v>200.6</v>
      </c>
      <c r="T354" s="52">
        <f t="shared" si="13"/>
        <v>2.6086956521739101E-2</v>
      </c>
      <c r="U354" s="25">
        <v>176.7</v>
      </c>
      <c r="V354" s="25">
        <v>163.5</v>
      </c>
      <c r="W354" s="25">
        <v>174.7</v>
      </c>
      <c r="X354" s="52">
        <f t="shared" si="14"/>
        <v>-6.5275548421615925E-2</v>
      </c>
      <c r="Y354" s="25">
        <v>171.8</v>
      </c>
      <c r="Z354" s="25">
        <v>180.3</v>
      </c>
      <c r="AA354" s="52">
        <f t="shared" si="15"/>
        <v>-8.7960417811984298E-3</v>
      </c>
      <c r="AB354" s="25">
        <v>166.9</v>
      </c>
      <c r="AC354" s="52">
        <f t="shared" si="16"/>
        <v>-4.9002849002848972E-2</v>
      </c>
      <c r="AD354" s="25">
        <v>175.8</v>
      </c>
      <c r="AE354" s="52">
        <f t="shared" si="17"/>
        <v>-3.5655512890839271E-2</v>
      </c>
      <c r="AF354" s="25">
        <v>158.9</v>
      </c>
      <c r="AG354" s="52">
        <f t="shared" si="18"/>
        <v>-5.1343283582089519E-2</v>
      </c>
      <c r="AH354" s="25">
        <v>166.7</v>
      </c>
      <c r="AI354" s="52">
        <f t="shared" si="19"/>
        <v>-2.4004683840749545E-2</v>
      </c>
      <c r="AJ354" s="25">
        <v>171.5</v>
      </c>
      <c r="AK354" s="52">
        <f t="shared" si="20"/>
        <v>-3.0525720746184315E-2</v>
      </c>
      <c r="AL354" s="25">
        <v>173.8</v>
      </c>
      <c r="AM354" s="52">
        <f t="shared" si="21"/>
        <v>2.3068050749711975E-3</v>
      </c>
      <c r="AN354" s="25">
        <v>167.4</v>
      </c>
      <c r="AO354" s="52">
        <f t="shared" si="22"/>
        <v>-4.1237113402061792E-2</v>
      </c>
      <c r="AP354" s="25">
        <v>174.1</v>
      </c>
      <c r="AQ354" s="51">
        <f t="shared" si="23"/>
        <v>-2.0809898762654763E-2</v>
      </c>
    </row>
    <row r="355" spans="1:43" x14ac:dyDescent="0.3">
      <c r="A355" s="25" t="s">
        <v>34</v>
      </c>
      <c r="B355" s="25">
        <v>2022</v>
      </c>
      <c r="C355" s="25" t="s">
        <v>45</v>
      </c>
      <c r="D355" s="26">
        <f>DATE(B355,MATCH(TRIM(C355),{"January","February","March","April","May","June","July","August","September","October","November","December"},0),1)</f>
        <v>44866</v>
      </c>
      <c r="E355" s="25">
        <v>167.4</v>
      </c>
      <c r="F355" s="25">
        <v>209.4</v>
      </c>
      <c r="G355" s="25">
        <v>181.4</v>
      </c>
      <c r="H355" s="25">
        <v>172.3</v>
      </c>
      <c r="I355" s="25">
        <v>188.9</v>
      </c>
      <c r="J355" s="25">
        <v>160.69999999999999</v>
      </c>
      <c r="K355" s="25">
        <v>183.1</v>
      </c>
      <c r="L355" s="25">
        <v>170.5</v>
      </c>
      <c r="M355" s="25">
        <v>122.1</v>
      </c>
      <c r="N355" s="25">
        <v>202.8</v>
      </c>
      <c r="O355" s="25">
        <v>170.4</v>
      </c>
      <c r="P355" s="25">
        <v>189.5</v>
      </c>
      <c r="Q355" s="25">
        <v>178.3</v>
      </c>
      <c r="R355" s="52">
        <f t="shared" si="12"/>
        <v>-1.6547159404302261E-2</v>
      </c>
      <c r="S355" s="25">
        <v>196.9</v>
      </c>
      <c r="T355" s="52">
        <f t="shared" si="13"/>
        <v>-1.8444666001993962E-2</v>
      </c>
      <c r="U355" s="25">
        <v>183.1</v>
      </c>
      <c r="V355" s="25">
        <v>176.2</v>
      </c>
      <c r="W355" s="25">
        <v>182.1</v>
      </c>
      <c r="X355" s="52">
        <f t="shared" si="14"/>
        <v>4.2358328563251321E-2</v>
      </c>
      <c r="Y355" s="25">
        <v>171.8</v>
      </c>
      <c r="Z355" s="25">
        <v>181.3</v>
      </c>
      <c r="AA355" s="52">
        <f t="shared" si="15"/>
        <v>5.5463117027176921E-3</v>
      </c>
      <c r="AB355" s="25">
        <v>171.4</v>
      </c>
      <c r="AC355" s="52">
        <f t="shared" si="16"/>
        <v>2.6962252846015576E-2</v>
      </c>
      <c r="AD355" s="25">
        <v>179.8</v>
      </c>
      <c r="AE355" s="52">
        <f t="shared" si="17"/>
        <v>2.2753128555176336E-2</v>
      </c>
      <c r="AF355" s="25">
        <v>163</v>
      </c>
      <c r="AG355" s="52">
        <f t="shared" si="18"/>
        <v>2.5802391441157924E-2</v>
      </c>
      <c r="AH355" s="25">
        <v>168.5</v>
      </c>
      <c r="AI355" s="52">
        <f t="shared" si="19"/>
        <v>1.0797840431913687E-2</v>
      </c>
      <c r="AJ355" s="25">
        <v>173.7</v>
      </c>
      <c r="AK355" s="52">
        <f t="shared" si="20"/>
        <v>1.2827988338192353E-2</v>
      </c>
      <c r="AL355" s="25">
        <v>173.6</v>
      </c>
      <c r="AM355" s="52">
        <f t="shared" si="21"/>
        <v>-1.1507479861911222E-3</v>
      </c>
      <c r="AN355" s="25">
        <v>171.1</v>
      </c>
      <c r="AO355" s="52">
        <f t="shared" si="22"/>
        <v>2.2102747909199454E-2</v>
      </c>
      <c r="AP355" s="25">
        <v>176.5</v>
      </c>
      <c r="AQ355" s="51">
        <f t="shared" si="23"/>
        <v>1.3785180930499746E-2</v>
      </c>
    </row>
    <row r="356" spans="1:43" hidden="1" x14ac:dyDescent="0.3">
      <c r="A356" s="25" t="s">
        <v>30</v>
      </c>
      <c r="B356" s="25">
        <v>2022</v>
      </c>
      <c r="C356" s="25" t="s">
        <v>46</v>
      </c>
      <c r="D356" s="26">
        <f>DATE(B356,MATCH(TRIM(C356),{"January","February","March","April","May","June","July","August","September","October","November","December"},0),1)</f>
        <v>44896</v>
      </c>
      <c r="E356" s="25">
        <v>168.8</v>
      </c>
      <c r="F356" s="25">
        <v>206.9</v>
      </c>
      <c r="G356" s="25">
        <v>189.1</v>
      </c>
      <c r="H356" s="25">
        <v>173.4</v>
      </c>
      <c r="I356" s="25">
        <v>193.9</v>
      </c>
      <c r="J356" s="25">
        <v>156.69999999999999</v>
      </c>
      <c r="K356" s="25">
        <v>150.19999999999999</v>
      </c>
      <c r="L356" s="25">
        <v>170.5</v>
      </c>
      <c r="M356" s="25">
        <v>121.2</v>
      </c>
      <c r="N356" s="25">
        <v>207.5</v>
      </c>
      <c r="O356" s="25">
        <v>176.8</v>
      </c>
      <c r="P356" s="25">
        <v>187.7</v>
      </c>
      <c r="Q356" s="25">
        <v>174.4</v>
      </c>
      <c r="R356" s="52">
        <f t="shared" si="12"/>
        <v>-2.1873247335950675E-2</v>
      </c>
      <c r="S356" s="25">
        <v>195.9</v>
      </c>
      <c r="T356" s="52">
        <f t="shared" si="13"/>
        <v>-5.0787201625190452E-3</v>
      </c>
      <c r="U356" s="25">
        <v>188.1</v>
      </c>
      <c r="V356" s="25">
        <v>185.9</v>
      </c>
      <c r="W356" s="25">
        <v>187.8</v>
      </c>
      <c r="X356" s="52">
        <f t="shared" si="14"/>
        <v>3.1301482701812287E-2</v>
      </c>
      <c r="Y356" s="25" t="s">
        <v>32</v>
      </c>
      <c r="Z356" s="25">
        <v>182.8</v>
      </c>
      <c r="AA356" s="52">
        <f t="shared" si="15"/>
        <v>8.2735797021511303E-3</v>
      </c>
      <c r="AB356" s="25">
        <v>176.4</v>
      </c>
      <c r="AC356" s="52">
        <f t="shared" si="16"/>
        <v>2.9171528588098017E-2</v>
      </c>
      <c r="AD356" s="25">
        <v>183.5</v>
      </c>
      <c r="AE356" s="52">
        <f t="shared" si="17"/>
        <v>2.0578420467185696E-2</v>
      </c>
      <c r="AF356" s="25">
        <v>167.8</v>
      </c>
      <c r="AG356" s="52">
        <f t="shared" si="18"/>
        <v>2.9447852760736266E-2</v>
      </c>
      <c r="AH356" s="25">
        <v>171.2</v>
      </c>
      <c r="AI356" s="52">
        <f t="shared" si="19"/>
        <v>1.6023738872403492E-2</v>
      </c>
      <c r="AJ356" s="25">
        <v>177.3</v>
      </c>
      <c r="AK356" s="52">
        <f t="shared" si="20"/>
        <v>2.0725388601036402E-2</v>
      </c>
      <c r="AL356" s="25">
        <v>175.7</v>
      </c>
      <c r="AM356" s="52">
        <f t="shared" si="21"/>
        <v>1.2096774193548356E-2</v>
      </c>
      <c r="AN356" s="25">
        <v>175.5</v>
      </c>
      <c r="AO356" s="52">
        <f t="shared" si="22"/>
        <v>2.5715955581531301E-2</v>
      </c>
      <c r="AP356" s="25">
        <v>177.1</v>
      </c>
      <c r="AQ356" s="51">
        <f t="shared" si="23"/>
        <v>3.3994334277620076E-3</v>
      </c>
    </row>
    <row r="357" spans="1:43" hidden="1" x14ac:dyDescent="0.3">
      <c r="A357" s="25" t="s">
        <v>33</v>
      </c>
      <c r="B357" s="25">
        <v>2022</v>
      </c>
      <c r="C357" s="25" t="s">
        <v>46</v>
      </c>
      <c r="D357" s="26">
        <f>DATE(B357,MATCH(TRIM(C357),{"January","February","March","April","May","June","July","August","September","October","November","December"},0),1)</f>
        <v>44896</v>
      </c>
      <c r="E357" s="25">
        <v>170.2</v>
      </c>
      <c r="F357" s="25">
        <v>212.9</v>
      </c>
      <c r="G357" s="25">
        <v>191.9</v>
      </c>
      <c r="H357" s="25">
        <v>173.9</v>
      </c>
      <c r="I357" s="25">
        <v>179.1</v>
      </c>
      <c r="J357" s="25">
        <v>159.5</v>
      </c>
      <c r="K357" s="25">
        <v>178.7</v>
      </c>
      <c r="L357" s="25">
        <v>171.3</v>
      </c>
      <c r="M357" s="25">
        <v>123.1</v>
      </c>
      <c r="N357" s="25">
        <v>200.5</v>
      </c>
      <c r="O357" s="25">
        <v>162.80000000000001</v>
      </c>
      <c r="P357" s="25">
        <v>193.3</v>
      </c>
      <c r="Q357" s="25">
        <v>178.6</v>
      </c>
      <c r="R357" s="52">
        <f t="shared" si="12"/>
        <v>2.4082568807339385E-2</v>
      </c>
      <c r="S357" s="25">
        <v>201.1</v>
      </c>
      <c r="T357" s="52">
        <f t="shared" si="13"/>
        <v>2.6544155181214845E-2</v>
      </c>
      <c r="U357" s="25">
        <v>177.7</v>
      </c>
      <c r="V357" s="25">
        <v>164.5</v>
      </c>
      <c r="W357" s="25">
        <v>175.7</v>
      </c>
      <c r="X357" s="52">
        <f t="shared" si="14"/>
        <v>-6.443024494142717E-2</v>
      </c>
      <c r="Y357" s="25">
        <v>170.7</v>
      </c>
      <c r="Z357" s="25">
        <v>180.6</v>
      </c>
      <c r="AA357" s="52">
        <f t="shared" si="15"/>
        <v>-1.203501094091913E-2</v>
      </c>
      <c r="AB357" s="25">
        <v>167.3</v>
      </c>
      <c r="AC357" s="52">
        <f t="shared" si="16"/>
        <v>-5.1587301587301557E-2</v>
      </c>
      <c r="AD357" s="25">
        <v>177.2</v>
      </c>
      <c r="AE357" s="52">
        <f t="shared" si="17"/>
        <v>-3.4332425068119954E-2</v>
      </c>
      <c r="AF357" s="25">
        <v>159.4</v>
      </c>
      <c r="AG357" s="52">
        <f t="shared" si="18"/>
        <v>-5.0059594755661532E-2</v>
      </c>
      <c r="AH357" s="25">
        <v>167.1</v>
      </c>
      <c r="AI357" s="52">
        <f t="shared" si="19"/>
        <v>-2.3948598130841089E-2</v>
      </c>
      <c r="AJ357" s="25">
        <v>171.8</v>
      </c>
      <c r="AK357" s="52">
        <f t="shared" si="20"/>
        <v>-3.102086858432036E-2</v>
      </c>
      <c r="AL357" s="25">
        <v>176</v>
      </c>
      <c r="AM357" s="52">
        <f t="shared" si="21"/>
        <v>1.7074558907228879E-3</v>
      </c>
      <c r="AN357" s="25">
        <v>168.2</v>
      </c>
      <c r="AO357" s="52">
        <f t="shared" si="22"/>
        <v>-4.1595441595441658E-2</v>
      </c>
      <c r="AP357" s="25">
        <v>174.1</v>
      </c>
      <c r="AQ357" s="51">
        <f t="shared" si="23"/>
        <v>-1.693958215697346E-2</v>
      </c>
    </row>
    <row r="358" spans="1:43" x14ac:dyDescent="0.3">
      <c r="A358" s="25" t="s">
        <v>34</v>
      </c>
      <c r="B358" s="25">
        <v>2022</v>
      </c>
      <c r="C358" s="25" t="s">
        <v>46</v>
      </c>
      <c r="D358" s="26">
        <f>DATE(B358,MATCH(TRIM(C358),{"January","February","March","April","May","June","July","August","September","October","November","December"},0),1)</f>
        <v>44896</v>
      </c>
      <c r="E358" s="25">
        <v>169.2</v>
      </c>
      <c r="F358" s="25">
        <v>209</v>
      </c>
      <c r="G358" s="25">
        <v>190.2</v>
      </c>
      <c r="H358" s="25">
        <v>173.6</v>
      </c>
      <c r="I358" s="25">
        <v>188.5</v>
      </c>
      <c r="J358" s="25">
        <v>158</v>
      </c>
      <c r="K358" s="25">
        <v>159.9</v>
      </c>
      <c r="L358" s="25">
        <v>170.8</v>
      </c>
      <c r="M358" s="25">
        <v>121.8</v>
      </c>
      <c r="N358" s="25">
        <v>205.2</v>
      </c>
      <c r="O358" s="25">
        <v>171</v>
      </c>
      <c r="P358" s="25">
        <v>190.3</v>
      </c>
      <c r="Q358" s="25">
        <v>175.9</v>
      </c>
      <c r="R358" s="52">
        <f t="shared" si="12"/>
        <v>-1.5117581187010015E-2</v>
      </c>
      <c r="S358" s="25">
        <v>197.3</v>
      </c>
      <c r="T358" s="52">
        <f t="shared" si="13"/>
        <v>-1.8896071606166003E-2</v>
      </c>
      <c r="U358" s="25">
        <v>184</v>
      </c>
      <c r="V358" s="25">
        <v>177</v>
      </c>
      <c r="W358" s="25">
        <v>183</v>
      </c>
      <c r="X358" s="52">
        <f t="shared" si="14"/>
        <v>4.154809334092209E-2</v>
      </c>
      <c r="Y358" s="25">
        <v>170.7</v>
      </c>
      <c r="Z358" s="25">
        <v>182</v>
      </c>
      <c r="AA358" s="52">
        <f t="shared" si="15"/>
        <v>7.751937984496156E-3</v>
      </c>
      <c r="AB358" s="25">
        <v>172.1</v>
      </c>
      <c r="AC358" s="52">
        <f t="shared" si="16"/>
        <v>2.8690974297668755E-2</v>
      </c>
      <c r="AD358" s="25">
        <v>181.1</v>
      </c>
      <c r="AE358" s="52">
        <f t="shared" si="17"/>
        <v>2.2009029345372494E-2</v>
      </c>
      <c r="AF358" s="25">
        <v>163.4</v>
      </c>
      <c r="AG358" s="52">
        <f t="shared" si="18"/>
        <v>2.5094102885821833E-2</v>
      </c>
      <c r="AH358" s="25">
        <v>168.9</v>
      </c>
      <c r="AI358" s="52">
        <f t="shared" si="19"/>
        <v>1.0771992818671522E-2</v>
      </c>
      <c r="AJ358" s="25">
        <v>174.1</v>
      </c>
      <c r="AK358" s="52">
        <f t="shared" si="20"/>
        <v>1.3387660069848562E-2</v>
      </c>
      <c r="AL358" s="25">
        <v>175.8</v>
      </c>
      <c r="AM358" s="52">
        <f t="shared" si="21"/>
        <v>-1.1363636363635717E-3</v>
      </c>
      <c r="AN358" s="25">
        <v>172</v>
      </c>
      <c r="AO358" s="52">
        <f t="shared" si="22"/>
        <v>2.2592152199762256E-2</v>
      </c>
      <c r="AP358" s="25">
        <v>175.7</v>
      </c>
      <c r="AQ358" s="51">
        <f t="shared" si="23"/>
        <v>9.1901206203331091E-3</v>
      </c>
    </row>
    <row r="359" spans="1:43" hidden="1" x14ac:dyDescent="0.3">
      <c r="A359" s="25" t="s">
        <v>30</v>
      </c>
      <c r="B359" s="25">
        <v>2023</v>
      </c>
      <c r="C359" s="25" t="s">
        <v>31</v>
      </c>
      <c r="D359" s="26">
        <f>DATE(B359,MATCH(TRIM(C359),{"January","February","March","April","May","June","July","August","September","October","November","December"},0),1)</f>
        <v>44927</v>
      </c>
      <c r="E359" s="25">
        <v>174</v>
      </c>
      <c r="F359" s="25">
        <v>208.3</v>
      </c>
      <c r="G359" s="25">
        <v>192.9</v>
      </c>
      <c r="H359" s="25">
        <v>174.3</v>
      </c>
      <c r="I359" s="25">
        <v>192.6</v>
      </c>
      <c r="J359" s="25">
        <v>156.30000000000001</v>
      </c>
      <c r="K359" s="25">
        <v>142.9</v>
      </c>
      <c r="L359" s="25">
        <v>170.7</v>
      </c>
      <c r="M359" s="25">
        <v>120.3</v>
      </c>
      <c r="N359" s="25">
        <v>210.5</v>
      </c>
      <c r="O359" s="25">
        <v>176.9</v>
      </c>
      <c r="P359" s="25">
        <v>188.5</v>
      </c>
      <c r="Q359" s="25">
        <v>175</v>
      </c>
      <c r="R359" s="52">
        <f t="shared" si="12"/>
        <v>-5.1165434906197023E-3</v>
      </c>
      <c r="S359" s="25">
        <v>196.9</v>
      </c>
      <c r="T359" s="52">
        <f t="shared" si="13"/>
        <v>-2.0273694880892329E-3</v>
      </c>
      <c r="U359" s="25">
        <v>189</v>
      </c>
      <c r="V359" s="25">
        <v>186.3</v>
      </c>
      <c r="W359" s="25">
        <v>188.6</v>
      </c>
      <c r="X359" s="52">
        <f t="shared" si="14"/>
        <v>3.0601092896174832E-2</v>
      </c>
      <c r="Y359" s="25" t="s">
        <v>32</v>
      </c>
      <c r="Z359" s="25">
        <v>183.2</v>
      </c>
      <c r="AA359" s="52">
        <f t="shared" si="15"/>
        <v>6.593406593406531E-3</v>
      </c>
      <c r="AB359" s="25">
        <v>177.2</v>
      </c>
      <c r="AC359" s="52">
        <f t="shared" si="16"/>
        <v>2.9633933759442153E-2</v>
      </c>
      <c r="AD359" s="25">
        <v>184.7</v>
      </c>
      <c r="AE359" s="52">
        <f t="shared" si="17"/>
        <v>1.9878520154610682E-2</v>
      </c>
      <c r="AF359" s="25">
        <v>168.2</v>
      </c>
      <c r="AG359" s="52">
        <f t="shared" si="18"/>
        <v>2.9375764993879942E-2</v>
      </c>
      <c r="AH359" s="25">
        <v>171.8</v>
      </c>
      <c r="AI359" s="52">
        <f t="shared" si="19"/>
        <v>1.7169923031379548E-2</v>
      </c>
      <c r="AJ359" s="25">
        <v>177.8</v>
      </c>
      <c r="AK359" s="52">
        <f t="shared" si="20"/>
        <v>2.1252153934520488E-2</v>
      </c>
      <c r="AL359" s="25">
        <v>178.4</v>
      </c>
      <c r="AM359" s="52">
        <f t="shared" si="21"/>
        <v>1.4789533560864586E-2</v>
      </c>
      <c r="AN359" s="25">
        <v>176.5</v>
      </c>
      <c r="AO359" s="52">
        <f t="shared" si="22"/>
        <v>2.616279069767442E-2</v>
      </c>
      <c r="AP359" s="25">
        <v>177.8</v>
      </c>
      <c r="AQ359" s="51">
        <f t="shared" si="23"/>
        <v>1.1952191235059891E-2</v>
      </c>
    </row>
    <row r="360" spans="1:43" hidden="1" x14ac:dyDescent="0.3">
      <c r="A360" s="25" t="s">
        <v>33</v>
      </c>
      <c r="B360" s="25">
        <v>2023</v>
      </c>
      <c r="C360" s="25" t="s">
        <v>31</v>
      </c>
      <c r="D360" s="26">
        <f>DATE(B360,MATCH(TRIM(C360),{"January","February","March","April","May","June","July","August","September","October","November","December"},0),1)</f>
        <v>44927</v>
      </c>
      <c r="E360" s="25">
        <v>173.3</v>
      </c>
      <c r="F360" s="25">
        <v>215.2</v>
      </c>
      <c r="G360" s="25">
        <v>197</v>
      </c>
      <c r="H360" s="25">
        <v>175.2</v>
      </c>
      <c r="I360" s="25">
        <v>178</v>
      </c>
      <c r="J360" s="25">
        <v>160.5</v>
      </c>
      <c r="K360" s="25">
        <v>175.3</v>
      </c>
      <c r="L360" s="25">
        <v>171.2</v>
      </c>
      <c r="M360" s="25">
        <v>122.7</v>
      </c>
      <c r="N360" s="25">
        <v>204.3</v>
      </c>
      <c r="O360" s="25">
        <v>163.69999999999999</v>
      </c>
      <c r="P360" s="25">
        <v>194.3</v>
      </c>
      <c r="Q360" s="25">
        <v>179.5</v>
      </c>
      <c r="R360" s="52">
        <f t="shared" si="12"/>
        <v>2.5714285714285714E-2</v>
      </c>
      <c r="S360" s="25">
        <v>201.6</v>
      </c>
      <c r="T360" s="52">
        <f t="shared" si="13"/>
        <v>2.3869984763839454E-2</v>
      </c>
      <c r="U360" s="25">
        <v>178.7</v>
      </c>
      <c r="V360" s="25">
        <v>165.3</v>
      </c>
      <c r="W360" s="25">
        <v>176.6</v>
      </c>
      <c r="X360" s="52">
        <f t="shared" si="14"/>
        <v>-6.3626723223753984E-2</v>
      </c>
      <c r="Y360" s="25">
        <v>172.1</v>
      </c>
      <c r="Z360" s="25">
        <v>180.1</v>
      </c>
      <c r="AA360" s="52">
        <f t="shared" si="15"/>
        <v>-1.6921397379912634E-2</v>
      </c>
      <c r="AB360" s="25">
        <v>168</v>
      </c>
      <c r="AC360" s="52">
        <f t="shared" si="16"/>
        <v>-5.1918735891647798E-2</v>
      </c>
      <c r="AD360" s="25">
        <v>178.5</v>
      </c>
      <c r="AE360" s="52">
        <f t="shared" si="17"/>
        <v>-3.3567948023822354E-2</v>
      </c>
      <c r="AF360" s="25">
        <v>159.5</v>
      </c>
      <c r="AG360" s="52">
        <f t="shared" si="18"/>
        <v>-5.172413793103442E-2</v>
      </c>
      <c r="AH360" s="25">
        <v>167.8</v>
      </c>
      <c r="AI360" s="52">
        <f t="shared" si="19"/>
        <v>-2.3282887077997669E-2</v>
      </c>
      <c r="AJ360" s="25">
        <v>171.8</v>
      </c>
      <c r="AK360" s="52">
        <f t="shared" si="20"/>
        <v>-3.3745781777277835E-2</v>
      </c>
      <c r="AL360" s="25">
        <v>178.8</v>
      </c>
      <c r="AM360" s="52">
        <f t="shared" si="21"/>
        <v>2.2421524663677446E-3</v>
      </c>
      <c r="AN360" s="25">
        <v>168.9</v>
      </c>
      <c r="AO360" s="52">
        <f t="shared" si="22"/>
        <v>-4.3059490084985802E-2</v>
      </c>
      <c r="AP360" s="25">
        <v>174.9</v>
      </c>
      <c r="AQ360" s="51">
        <f t="shared" si="23"/>
        <v>-1.6310461192350988E-2</v>
      </c>
    </row>
    <row r="361" spans="1:43" x14ac:dyDescent="0.3">
      <c r="A361" s="25" t="s">
        <v>34</v>
      </c>
      <c r="B361" s="25">
        <v>2023</v>
      </c>
      <c r="C361" s="25" t="s">
        <v>31</v>
      </c>
      <c r="D361" s="26">
        <f>DATE(B361,MATCH(TRIM(C361),{"January","February","March","April","May","June","July","August","September","October","November","December"},0),1)</f>
        <v>44927</v>
      </c>
      <c r="E361" s="25">
        <v>173.8</v>
      </c>
      <c r="F361" s="25">
        <v>210.7</v>
      </c>
      <c r="G361" s="25">
        <v>194.5</v>
      </c>
      <c r="H361" s="25">
        <v>174.6</v>
      </c>
      <c r="I361" s="25">
        <v>187.2</v>
      </c>
      <c r="J361" s="25">
        <v>158.30000000000001</v>
      </c>
      <c r="K361" s="25">
        <v>153.9</v>
      </c>
      <c r="L361" s="25">
        <v>170.9</v>
      </c>
      <c r="M361" s="25">
        <v>121.1</v>
      </c>
      <c r="N361" s="25">
        <v>208.4</v>
      </c>
      <c r="O361" s="25">
        <v>171.4</v>
      </c>
      <c r="P361" s="25">
        <v>191.2</v>
      </c>
      <c r="Q361" s="25">
        <v>176.7</v>
      </c>
      <c r="R361" s="52">
        <f t="shared" si="12"/>
        <v>-1.559888579387193E-2</v>
      </c>
      <c r="S361" s="25">
        <v>198.2</v>
      </c>
      <c r="T361" s="52">
        <f t="shared" si="13"/>
        <v>-1.6865079365079395E-2</v>
      </c>
      <c r="U361" s="25">
        <v>184.9</v>
      </c>
      <c r="V361" s="25">
        <v>177.6</v>
      </c>
      <c r="W361" s="25">
        <v>183.8</v>
      </c>
      <c r="X361" s="52">
        <f t="shared" si="14"/>
        <v>4.077010192525491E-2</v>
      </c>
      <c r="Y361" s="25">
        <v>172.1</v>
      </c>
      <c r="Z361" s="25">
        <v>182</v>
      </c>
      <c r="AA361" s="52">
        <f t="shared" si="15"/>
        <v>1.0549694614103308E-2</v>
      </c>
      <c r="AB361" s="25">
        <v>172.9</v>
      </c>
      <c r="AC361" s="52">
        <f t="shared" si="16"/>
        <v>2.9166666666666702E-2</v>
      </c>
      <c r="AD361" s="25">
        <v>182.3</v>
      </c>
      <c r="AE361" s="52">
        <f t="shared" si="17"/>
        <v>2.1288515406162528E-2</v>
      </c>
      <c r="AF361" s="25">
        <v>163.6</v>
      </c>
      <c r="AG361" s="52">
        <f t="shared" si="18"/>
        <v>2.5705329153604978E-2</v>
      </c>
      <c r="AH361" s="25">
        <v>169.5</v>
      </c>
      <c r="AI361" s="52">
        <f t="shared" si="19"/>
        <v>1.0131108462455235E-2</v>
      </c>
      <c r="AJ361" s="25">
        <v>174.3</v>
      </c>
      <c r="AK361" s="52">
        <f t="shared" si="20"/>
        <v>1.4551804423748545E-2</v>
      </c>
      <c r="AL361" s="25">
        <v>178.6</v>
      </c>
      <c r="AM361" s="52">
        <f t="shared" si="21"/>
        <v>-1.1185682326622878E-3</v>
      </c>
      <c r="AN361" s="25">
        <v>172.8</v>
      </c>
      <c r="AO361" s="52">
        <f t="shared" si="22"/>
        <v>2.3090586145648344E-2</v>
      </c>
      <c r="AP361" s="25">
        <v>176.5</v>
      </c>
      <c r="AQ361" s="51">
        <f t="shared" si="23"/>
        <v>9.1480846197826999E-3</v>
      </c>
    </row>
    <row r="362" spans="1:43" hidden="1" x14ac:dyDescent="0.3">
      <c r="A362" s="25" t="s">
        <v>30</v>
      </c>
      <c r="B362" s="25">
        <v>2023</v>
      </c>
      <c r="C362" s="25" t="s">
        <v>35</v>
      </c>
      <c r="D362" s="26">
        <f>DATE(B362,MATCH(TRIM(C362),{"January","February","March","April","May","June","July","August","September","October","November","December"},0),1)</f>
        <v>44958</v>
      </c>
      <c r="E362" s="25">
        <v>174.2</v>
      </c>
      <c r="F362" s="25">
        <v>205.2</v>
      </c>
      <c r="G362" s="25">
        <v>173.9</v>
      </c>
      <c r="H362" s="25">
        <v>177</v>
      </c>
      <c r="I362" s="25">
        <v>183.4</v>
      </c>
      <c r="J362" s="25">
        <v>167.2</v>
      </c>
      <c r="K362" s="25">
        <v>140.9</v>
      </c>
      <c r="L362" s="25">
        <v>170.4</v>
      </c>
      <c r="M362" s="25">
        <v>119.1</v>
      </c>
      <c r="N362" s="25">
        <v>212.1</v>
      </c>
      <c r="O362" s="25">
        <v>177.6</v>
      </c>
      <c r="P362" s="25">
        <v>189.9</v>
      </c>
      <c r="Q362" s="25">
        <v>174.8</v>
      </c>
      <c r="R362" s="52">
        <f t="shared" si="12"/>
        <v>-1.0752688172042883E-2</v>
      </c>
      <c r="S362" s="25">
        <v>198.3</v>
      </c>
      <c r="T362" s="52">
        <f t="shared" si="13"/>
        <v>5.0454086781040735E-4</v>
      </c>
      <c r="U362" s="25">
        <v>190</v>
      </c>
      <c r="V362" s="25">
        <v>187</v>
      </c>
      <c r="W362" s="25">
        <v>189.6</v>
      </c>
      <c r="X362" s="52">
        <f t="shared" si="14"/>
        <v>3.1556039173014049E-2</v>
      </c>
      <c r="Y362" s="25" t="s">
        <v>32</v>
      </c>
      <c r="Z362" s="25">
        <v>181.6</v>
      </c>
      <c r="AA362" s="52">
        <f t="shared" si="15"/>
        <v>-2.197802197802229E-3</v>
      </c>
      <c r="AB362" s="25">
        <v>178.6</v>
      </c>
      <c r="AC362" s="52">
        <f t="shared" si="16"/>
        <v>3.2967032967032898E-2</v>
      </c>
      <c r="AD362" s="25">
        <v>186.6</v>
      </c>
      <c r="AE362" s="52">
        <f t="shared" si="17"/>
        <v>2.3587493143170504E-2</v>
      </c>
      <c r="AF362" s="25">
        <v>169</v>
      </c>
      <c r="AG362" s="52">
        <f t="shared" si="18"/>
        <v>3.3007334963325217E-2</v>
      </c>
      <c r="AH362" s="25">
        <v>172.8</v>
      </c>
      <c r="AI362" s="52">
        <f t="shared" si="19"/>
        <v>1.9469026548672632E-2</v>
      </c>
      <c r="AJ362" s="25">
        <v>178.5</v>
      </c>
      <c r="AK362" s="52">
        <f t="shared" si="20"/>
        <v>2.4096385542168607E-2</v>
      </c>
      <c r="AL362" s="25">
        <v>180.7</v>
      </c>
      <c r="AM362" s="52">
        <f t="shared" si="21"/>
        <v>1.1758118701007807E-2</v>
      </c>
      <c r="AN362" s="25">
        <v>177.9</v>
      </c>
      <c r="AO362" s="52">
        <f t="shared" si="22"/>
        <v>2.9513888888888853E-2</v>
      </c>
      <c r="AP362" s="25">
        <v>178</v>
      </c>
      <c r="AQ362" s="51">
        <f t="shared" si="23"/>
        <v>8.4985835694051E-3</v>
      </c>
    </row>
    <row r="363" spans="1:43" hidden="1" x14ac:dyDescent="0.3">
      <c r="A363" s="25" t="s">
        <v>33</v>
      </c>
      <c r="B363" s="25">
        <v>2023</v>
      </c>
      <c r="C363" s="25" t="s">
        <v>35</v>
      </c>
      <c r="D363" s="26">
        <f>DATE(B363,MATCH(TRIM(C363),{"January","February","March","April","May","June","July","August","September","October","November","December"},0),1)</f>
        <v>44958</v>
      </c>
      <c r="E363" s="25">
        <v>174.7</v>
      </c>
      <c r="F363" s="25">
        <v>212.2</v>
      </c>
      <c r="G363" s="25">
        <v>177.2</v>
      </c>
      <c r="H363" s="25">
        <v>177.9</v>
      </c>
      <c r="I363" s="25">
        <v>172.2</v>
      </c>
      <c r="J363" s="25">
        <v>172.1</v>
      </c>
      <c r="K363" s="25">
        <v>175.8</v>
      </c>
      <c r="L363" s="25">
        <v>172.2</v>
      </c>
      <c r="M363" s="25">
        <v>121.9</v>
      </c>
      <c r="N363" s="25">
        <v>204.8</v>
      </c>
      <c r="O363" s="25">
        <v>164.9</v>
      </c>
      <c r="P363" s="25">
        <v>196.6</v>
      </c>
      <c r="Q363" s="25">
        <v>180.7</v>
      </c>
      <c r="R363" s="52">
        <f t="shared" si="12"/>
        <v>3.3752860411899184E-2</v>
      </c>
      <c r="S363" s="25">
        <v>202.7</v>
      </c>
      <c r="T363" s="52">
        <f t="shared" si="13"/>
        <v>2.2188603126575779E-2</v>
      </c>
      <c r="U363" s="25">
        <v>180.3</v>
      </c>
      <c r="V363" s="25">
        <v>167</v>
      </c>
      <c r="W363" s="25">
        <v>178.2</v>
      </c>
      <c r="X363" s="52">
        <f t="shared" si="14"/>
        <v>-6.0126582278481042E-2</v>
      </c>
      <c r="Y363" s="25">
        <v>173.5</v>
      </c>
      <c r="Z363" s="25">
        <v>182.8</v>
      </c>
      <c r="AA363" s="52">
        <f t="shared" si="15"/>
        <v>6.6079295154185961E-3</v>
      </c>
      <c r="AB363" s="25">
        <v>169.2</v>
      </c>
      <c r="AC363" s="52">
        <f t="shared" si="16"/>
        <v>-5.2631578947368453E-2</v>
      </c>
      <c r="AD363" s="25">
        <v>180.8</v>
      </c>
      <c r="AE363" s="52">
        <f t="shared" si="17"/>
        <v>-3.1082529474812343E-2</v>
      </c>
      <c r="AF363" s="25">
        <v>159.80000000000001</v>
      </c>
      <c r="AG363" s="52">
        <f t="shared" si="18"/>
        <v>-5.4437869822485142E-2</v>
      </c>
      <c r="AH363" s="25">
        <v>168.4</v>
      </c>
      <c r="AI363" s="52">
        <f t="shared" si="19"/>
        <v>-2.5462962962962993E-2</v>
      </c>
      <c r="AJ363" s="25">
        <v>172.5</v>
      </c>
      <c r="AK363" s="52">
        <f t="shared" si="20"/>
        <v>-3.3613445378151259E-2</v>
      </c>
      <c r="AL363" s="25">
        <v>181.4</v>
      </c>
      <c r="AM363" s="52">
        <f t="shared" si="21"/>
        <v>3.8738240177090045E-3</v>
      </c>
      <c r="AN363" s="25">
        <v>170</v>
      </c>
      <c r="AO363" s="52">
        <f t="shared" si="22"/>
        <v>-4.4406970207982045E-2</v>
      </c>
      <c r="AP363" s="25">
        <v>176.3</v>
      </c>
      <c r="AQ363" s="51">
        <f t="shared" si="23"/>
        <v>-9.5505617977527449E-3</v>
      </c>
    </row>
    <row r="364" spans="1:43" x14ac:dyDescent="0.3">
      <c r="A364" s="25" t="s">
        <v>34</v>
      </c>
      <c r="B364" s="25">
        <v>2023</v>
      </c>
      <c r="C364" s="25" t="s">
        <v>35</v>
      </c>
      <c r="D364" s="26">
        <f>DATE(B364,MATCH(TRIM(C364),{"January","February","March","April","May","June","July","August","September","October","November","December"},0),1)</f>
        <v>44958</v>
      </c>
      <c r="E364" s="25">
        <v>174.4</v>
      </c>
      <c r="F364" s="25">
        <v>207.7</v>
      </c>
      <c r="G364" s="25">
        <v>175.2</v>
      </c>
      <c r="H364" s="25">
        <v>177.3</v>
      </c>
      <c r="I364" s="25">
        <v>179.3</v>
      </c>
      <c r="J364" s="25">
        <v>169.5</v>
      </c>
      <c r="K364" s="25">
        <v>152.69999999999999</v>
      </c>
      <c r="L364" s="25">
        <v>171</v>
      </c>
      <c r="M364" s="25">
        <v>120</v>
      </c>
      <c r="N364" s="25">
        <v>209.7</v>
      </c>
      <c r="O364" s="25">
        <v>172.3</v>
      </c>
      <c r="P364" s="25">
        <v>193</v>
      </c>
      <c r="Q364" s="25">
        <v>177</v>
      </c>
      <c r="R364" s="52">
        <f t="shared" si="12"/>
        <v>-2.0475926950747032E-2</v>
      </c>
      <c r="S364" s="25">
        <v>199.5</v>
      </c>
      <c r="T364" s="52">
        <f t="shared" si="13"/>
        <v>-1.5786877158362057E-2</v>
      </c>
      <c r="U364" s="25">
        <v>186.2</v>
      </c>
      <c r="V364" s="25">
        <v>178.7</v>
      </c>
      <c r="W364" s="25">
        <v>185.1</v>
      </c>
      <c r="X364" s="52">
        <f t="shared" si="14"/>
        <v>3.8720538720538752E-2</v>
      </c>
      <c r="Y364" s="25">
        <v>173.5</v>
      </c>
      <c r="Z364" s="25">
        <v>182.1</v>
      </c>
      <c r="AA364" s="52">
        <f t="shared" si="15"/>
        <v>-3.8293216630197868E-3</v>
      </c>
      <c r="AB364" s="25">
        <v>174.2</v>
      </c>
      <c r="AC364" s="52">
        <f t="shared" si="16"/>
        <v>2.955082742316785E-2</v>
      </c>
      <c r="AD364" s="25">
        <v>184.4</v>
      </c>
      <c r="AE364" s="52">
        <f t="shared" si="17"/>
        <v>1.991150442477873E-2</v>
      </c>
      <c r="AF364" s="25">
        <v>164.2</v>
      </c>
      <c r="AG364" s="52">
        <f t="shared" si="18"/>
        <v>2.7534418022528016E-2</v>
      </c>
      <c r="AH364" s="25">
        <v>170.3</v>
      </c>
      <c r="AI364" s="52">
        <f t="shared" si="19"/>
        <v>1.1282660332541602E-2</v>
      </c>
      <c r="AJ364" s="25">
        <v>175</v>
      </c>
      <c r="AK364" s="52">
        <f t="shared" si="20"/>
        <v>1.4492753623188406E-2</v>
      </c>
      <c r="AL364" s="25">
        <v>181</v>
      </c>
      <c r="AM364" s="52">
        <f t="shared" si="21"/>
        <v>-2.2050716648291382E-3</v>
      </c>
      <c r="AN364" s="25">
        <v>174.1</v>
      </c>
      <c r="AO364" s="52">
        <f t="shared" si="22"/>
        <v>2.4117647058823497E-2</v>
      </c>
      <c r="AP364" s="25">
        <v>177.2</v>
      </c>
      <c r="AQ364" s="51">
        <f t="shared" si="23"/>
        <v>5.1049347702778062E-3</v>
      </c>
    </row>
    <row r="365" spans="1:43" hidden="1" x14ac:dyDescent="0.3">
      <c r="A365" s="25" t="s">
        <v>30</v>
      </c>
      <c r="B365" s="25">
        <v>2023</v>
      </c>
      <c r="C365" s="25" t="s">
        <v>36</v>
      </c>
      <c r="D365" s="26">
        <f>DATE(B365,MATCH(TRIM(C365),{"January","February","March","April","May","June","July","August","September","October","November","December"},0),1)</f>
        <v>44986</v>
      </c>
      <c r="E365" s="25">
        <v>174.3</v>
      </c>
      <c r="F365" s="25">
        <v>205.2</v>
      </c>
      <c r="G365" s="25">
        <v>173.9</v>
      </c>
      <c r="H365" s="25">
        <v>177</v>
      </c>
      <c r="I365" s="25">
        <v>183.3</v>
      </c>
      <c r="J365" s="25">
        <v>167.2</v>
      </c>
      <c r="K365" s="25">
        <v>140.9</v>
      </c>
      <c r="L365" s="25">
        <v>170.5</v>
      </c>
      <c r="M365" s="25">
        <v>119.1</v>
      </c>
      <c r="N365" s="25">
        <v>212.1</v>
      </c>
      <c r="O365" s="25">
        <v>177.6</v>
      </c>
      <c r="P365" s="25">
        <v>189.9</v>
      </c>
      <c r="Q365" s="25">
        <v>174.8</v>
      </c>
      <c r="R365" s="52">
        <f t="shared" si="12"/>
        <v>-1.2429378531073383E-2</v>
      </c>
      <c r="S365" s="25">
        <v>198.4</v>
      </c>
      <c r="T365" s="52">
        <f t="shared" si="13"/>
        <v>-5.5137844611528536E-3</v>
      </c>
      <c r="U365" s="25">
        <v>190</v>
      </c>
      <c r="V365" s="25">
        <v>187</v>
      </c>
      <c r="W365" s="25">
        <v>189.6</v>
      </c>
      <c r="X365" s="52">
        <f t="shared" si="14"/>
        <v>2.4311183144246355E-2</v>
      </c>
      <c r="Y365" s="25" t="s">
        <v>32</v>
      </c>
      <c r="Z365" s="25">
        <v>181.4</v>
      </c>
      <c r="AA365" s="52">
        <f t="shared" si="15"/>
        <v>-3.8440417353102067E-3</v>
      </c>
      <c r="AB365" s="25">
        <v>178.6</v>
      </c>
      <c r="AC365" s="52">
        <f t="shared" si="16"/>
        <v>2.5258323765786485E-2</v>
      </c>
      <c r="AD365" s="25">
        <v>186.6</v>
      </c>
      <c r="AE365" s="52">
        <f t="shared" si="17"/>
        <v>1.1930585683297117E-2</v>
      </c>
      <c r="AF365" s="25">
        <v>169</v>
      </c>
      <c r="AG365" s="52">
        <f t="shared" si="18"/>
        <v>2.9232643118148671E-2</v>
      </c>
      <c r="AH365" s="25">
        <v>172.8</v>
      </c>
      <c r="AI365" s="52">
        <f t="shared" si="19"/>
        <v>1.467997651203758E-2</v>
      </c>
      <c r="AJ365" s="25">
        <v>178.5</v>
      </c>
      <c r="AK365" s="52">
        <f t="shared" si="20"/>
        <v>0.02</v>
      </c>
      <c r="AL365" s="25">
        <v>180.7</v>
      </c>
      <c r="AM365" s="52">
        <f t="shared" si="21"/>
        <v>-1.6574585635359745E-3</v>
      </c>
      <c r="AN365" s="25">
        <v>177.9</v>
      </c>
      <c r="AO365" s="52">
        <f t="shared" si="22"/>
        <v>2.1826536473291278E-2</v>
      </c>
      <c r="AP365" s="25">
        <v>178</v>
      </c>
      <c r="AQ365" s="51">
        <f t="shared" si="23"/>
        <v>4.514672686230313E-3</v>
      </c>
    </row>
    <row r="366" spans="1:43" hidden="1" x14ac:dyDescent="0.3">
      <c r="A366" s="25" t="s">
        <v>33</v>
      </c>
      <c r="B366" s="25">
        <v>2023</v>
      </c>
      <c r="C366" s="25" t="s">
        <v>36</v>
      </c>
      <c r="D366" s="26">
        <f>DATE(B366,MATCH(TRIM(C366),{"January","February","March","April","May","June","July","August","September","October","November","December"},0),1)</f>
        <v>44986</v>
      </c>
      <c r="E366" s="25">
        <v>174.7</v>
      </c>
      <c r="F366" s="25">
        <v>212.2</v>
      </c>
      <c r="G366" s="25">
        <v>177.2</v>
      </c>
      <c r="H366" s="25">
        <v>177.9</v>
      </c>
      <c r="I366" s="25">
        <v>172.2</v>
      </c>
      <c r="J366" s="25">
        <v>172.1</v>
      </c>
      <c r="K366" s="25">
        <v>175.9</v>
      </c>
      <c r="L366" s="25">
        <v>172.2</v>
      </c>
      <c r="M366" s="25">
        <v>121.9</v>
      </c>
      <c r="N366" s="25">
        <v>204.8</v>
      </c>
      <c r="O366" s="25">
        <v>164.9</v>
      </c>
      <c r="P366" s="25">
        <v>196.6</v>
      </c>
      <c r="Q366" s="25">
        <v>180.8</v>
      </c>
      <c r="R366" s="52">
        <f t="shared" si="12"/>
        <v>3.4324942791762014E-2</v>
      </c>
      <c r="S366" s="25">
        <v>202.7</v>
      </c>
      <c r="T366" s="52">
        <f t="shared" si="13"/>
        <v>2.1673387096774108E-2</v>
      </c>
      <c r="U366" s="25">
        <v>180.2</v>
      </c>
      <c r="V366" s="25">
        <v>167</v>
      </c>
      <c r="W366" s="25">
        <v>178.2</v>
      </c>
      <c r="X366" s="52">
        <f t="shared" si="14"/>
        <v>-6.0126582278481042E-2</v>
      </c>
      <c r="Y366" s="25">
        <v>173.5</v>
      </c>
      <c r="Z366" s="25">
        <v>182.6</v>
      </c>
      <c r="AA366" s="52">
        <f t="shared" si="15"/>
        <v>6.6152149944872576E-3</v>
      </c>
      <c r="AB366" s="25">
        <v>169.2</v>
      </c>
      <c r="AC366" s="52">
        <f t="shared" si="16"/>
        <v>-5.2631578947368453E-2</v>
      </c>
      <c r="AD366" s="25">
        <v>180.8</v>
      </c>
      <c r="AE366" s="52">
        <f t="shared" si="17"/>
        <v>-3.1082529474812343E-2</v>
      </c>
      <c r="AF366" s="25">
        <v>159.80000000000001</v>
      </c>
      <c r="AG366" s="52">
        <f t="shared" si="18"/>
        <v>-5.4437869822485142E-2</v>
      </c>
      <c r="AH366" s="25">
        <v>168.4</v>
      </c>
      <c r="AI366" s="52">
        <f t="shared" si="19"/>
        <v>-2.5462962962962993E-2</v>
      </c>
      <c r="AJ366" s="25">
        <v>172.5</v>
      </c>
      <c r="AK366" s="52">
        <f t="shared" si="20"/>
        <v>-3.3613445378151259E-2</v>
      </c>
      <c r="AL366" s="25">
        <v>181.5</v>
      </c>
      <c r="AM366" s="52">
        <f t="shared" si="21"/>
        <v>4.4272274488102456E-3</v>
      </c>
      <c r="AN366" s="25">
        <v>170</v>
      </c>
      <c r="AO366" s="52">
        <f t="shared" si="22"/>
        <v>-4.4406970207982045E-2</v>
      </c>
      <c r="AP366" s="25">
        <v>176.3</v>
      </c>
      <c r="AQ366" s="51">
        <f t="shared" si="23"/>
        <v>-9.5505617977527449E-3</v>
      </c>
    </row>
    <row r="367" spans="1:43" x14ac:dyDescent="0.3">
      <c r="A367" s="25" t="s">
        <v>34</v>
      </c>
      <c r="B367" s="25">
        <v>2023</v>
      </c>
      <c r="C367" s="25" t="s">
        <v>36</v>
      </c>
      <c r="D367" s="26">
        <f>DATE(B367,MATCH(TRIM(C367),{"January","February","March","April","May","June","July","August","September","October","November","December"},0),1)</f>
        <v>44986</v>
      </c>
      <c r="E367" s="25">
        <v>174.4</v>
      </c>
      <c r="F367" s="25">
        <v>207.7</v>
      </c>
      <c r="G367" s="25">
        <v>175.2</v>
      </c>
      <c r="H367" s="25">
        <v>177.3</v>
      </c>
      <c r="I367" s="25">
        <v>179.2</v>
      </c>
      <c r="J367" s="25">
        <v>169.5</v>
      </c>
      <c r="K367" s="25">
        <v>152.80000000000001</v>
      </c>
      <c r="L367" s="25">
        <v>171.1</v>
      </c>
      <c r="M367" s="25">
        <v>120</v>
      </c>
      <c r="N367" s="25">
        <v>209.7</v>
      </c>
      <c r="O367" s="25">
        <v>172.3</v>
      </c>
      <c r="P367" s="25">
        <v>193</v>
      </c>
      <c r="Q367" s="25">
        <v>177</v>
      </c>
      <c r="R367" s="52">
        <f t="shared" si="12"/>
        <v>-2.1017699115044308E-2</v>
      </c>
      <c r="S367" s="25">
        <v>199.5</v>
      </c>
      <c r="T367" s="52">
        <f t="shared" si="13"/>
        <v>-1.5786877158362057E-2</v>
      </c>
      <c r="U367" s="25">
        <v>186.1</v>
      </c>
      <c r="V367" s="25">
        <v>178.7</v>
      </c>
      <c r="W367" s="25">
        <v>185.1</v>
      </c>
      <c r="X367" s="52">
        <f t="shared" si="14"/>
        <v>3.8720538720538752E-2</v>
      </c>
      <c r="Y367" s="25">
        <v>173.5</v>
      </c>
      <c r="Z367" s="25">
        <v>181.9</v>
      </c>
      <c r="AA367" s="52">
        <f t="shared" si="15"/>
        <v>-3.8335158817085907E-3</v>
      </c>
      <c r="AB367" s="25">
        <v>174.2</v>
      </c>
      <c r="AC367" s="52">
        <f t="shared" si="16"/>
        <v>2.955082742316785E-2</v>
      </c>
      <c r="AD367" s="25">
        <v>184.4</v>
      </c>
      <c r="AE367" s="52">
        <f t="shared" si="17"/>
        <v>1.991150442477873E-2</v>
      </c>
      <c r="AF367" s="25">
        <v>164.2</v>
      </c>
      <c r="AG367" s="52">
        <f t="shared" si="18"/>
        <v>2.7534418022528016E-2</v>
      </c>
      <c r="AH367" s="25">
        <v>170.3</v>
      </c>
      <c r="AI367" s="52">
        <f t="shared" si="19"/>
        <v>1.1282660332541602E-2</v>
      </c>
      <c r="AJ367" s="25">
        <v>175</v>
      </c>
      <c r="AK367" s="52">
        <f t="shared" si="20"/>
        <v>1.4492753623188406E-2</v>
      </c>
      <c r="AL367" s="25">
        <v>181</v>
      </c>
      <c r="AM367" s="52">
        <f t="shared" si="21"/>
        <v>-2.7548209366391185E-3</v>
      </c>
      <c r="AN367" s="25">
        <v>174.1</v>
      </c>
      <c r="AO367" s="52">
        <f t="shared" si="22"/>
        <v>2.4117647058823497E-2</v>
      </c>
      <c r="AP367" s="25">
        <v>177.2</v>
      </c>
      <c r="AQ367" s="51">
        <f t="shared" si="23"/>
        <v>5.1049347702778062E-3</v>
      </c>
    </row>
    <row r="368" spans="1:43" hidden="1" x14ac:dyDescent="0.3">
      <c r="A368" s="25" t="s">
        <v>30</v>
      </c>
      <c r="B368" s="25">
        <v>2023</v>
      </c>
      <c r="C368" s="25" t="s">
        <v>37</v>
      </c>
      <c r="D368" s="26">
        <f>DATE(B368,MATCH(TRIM(C368),{"January","February","March","April","May","June","July","August","September","October","November","December"},0),1)</f>
        <v>45017</v>
      </c>
      <c r="E368" s="25">
        <v>173.3</v>
      </c>
      <c r="F368" s="25">
        <v>206.9</v>
      </c>
      <c r="G368" s="25">
        <v>167.9</v>
      </c>
      <c r="H368" s="25">
        <v>178.2</v>
      </c>
      <c r="I368" s="25">
        <v>178.5</v>
      </c>
      <c r="J368" s="25">
        <v>173.7</v>
      </c>
      <c r="K368" s="25">
        <v>142.80000000000001</v>
      </c>
      <c r="L368" s="25">
        <v>172.8</v>
      </c>
      <c r="M368" s="25">
        <v>120.4</v>
      </c>
      <c r="N368" s="25">
        <v>215.5</v>
      </c>
      <c r="O368" s="25">
        <v>178.2</v>
      </c>
      <c r="P368" s="25">
        <v>190.5</v>
      </c>
      <c r="Q368" s="25">
        <v>175.5</v>
      </c>
      <c r="R368" s="25"/>
      <c r="S368" s="25">
        <v>199.5</v>
      </c>
      <c r="T368" s="25"/>
      <c r="U368" s="25">
        <v>190.7</v>
      </c>
      <c r="V368" s="25">
        <v>187.3</v>
      </c>
      <c r="W368" s="25">
        <v>190.2</v>
      </c>
      <c r="X368" s="25"/>
      <c r="Y368" s="25">
        <v>139.25</v>
      </c>
      <c r="Z368" s="25">
        <v>181.5</v>
      </c>
      <c r="AA368" s="25"/>
      <c r="AB368" s="25">
        <v>179.1</v>
      </c>
      <c r="AC368" s="25"/>
      <c r="AD368" s="25">
        <v>187.2</v>
      </c>
      <c r="AE368" s="25"/>
      <c r="AF368" s="25">
        <v>169.4</v>
      </c>
      <c r="AG368" s="25"/>
      <c r="AH368" s="25">
        <v>173.2</v>
      </c>
      <c r="AI368" s="25"/>
      <c r="AJ368" s="25">
        <v>179.4</v>
      </c>
      <c r="AK368" s="25"/>
      <c r="AL368" s="25">
        <v>183.8</v>
      </c>
      <c r="AM368" s="25"/>
      <c r="AN368" s="25">
        <v>178.9</v>
      </c>
      <c r="AO368" s="25"/>
      <c r="AP368" s="25">
        <v>178.8</v>
      </c>
    </row>
    <row r="369" spans="1:42" hidden="1" x14ac:dyDescent="0.3">
      <c r="A369" s="25" t="s">
        <v>33</v>
      </c>
      <c r="B369" s="25">
        <v>2023</v>
      </c>
      <c r="C369" s="25" t="s">
        <v>37</v>
      </c>
      <c r="D369" s="26">
        <f>DATE(B369,MATCH(TRIM(C369),{"January","February","March","April","May","June","July","August","September","October","November","December"},0),1)</f>
        <v>45017</v>
      </c>
      <c r="E369" s="25">
        <v>174.8</v>
      </c>
      <c r="F369" s="25">
        <v>213.7</v>
      </c>
      <c r="G369" s="25">
        <v>172.4</v>
      </c>
      <c r="H369" s="25">
        <v>178.8</v>
      </c>
      <c r="I369" s="25">
        <v>168.7</v>
      </c>
      <c r="J369" s="25">
        <v>179.2</v>
      </c>
      <c r="K369" s="25">
        <v>179.9</v>
      </c>
      <c r="L369" s="25">
        <v>174.7</v>
      </c>
      <c r="M369" s="25">
        <v>123.1</v>
      </c>
      <c r="N369" s="25">
        <v>207.8</v>
      </c>
      <c r="O369" s="25">
        <v>165.5</v>
      </c>
      <c r="P369" s="25">
        <v>197</v>
      </c>
      <c r="Q369" s="25">
        <v>182.1</v>
      </c>
      <c r="R369" s="25"/>
      <c r="S369" s="25">
        <v>203.5</v>
      </c>
      <c r="T369" s="25"/>
      <c r="U369" s="25">
        <v>181</v>
      </c>
      <c r="V369" s="25">
        <v>167.7</v>
      </c>
      <c r="W369" s="25">
        <v>178.9</v>
      </c>
      <c r="X369" s="25"/>
      <c r="Y369" s="25">
        <v>175.2</v>
      </c>
      <c r="Z369" s="25">
        <v>182.1</v>
      </c>
      <c r="AA369" s="25"/>
      <c r="AB369" s="25">
        <v>169.6</v>
      </c>
      <c r="AC369" s="25"/>
      <c r="AD369" s="25">
        <v>181.5</v>
      </c>
      <c r="AE369" s="25"/>
      <c r="AF369" s="25">
        <v>160.1</v>
      </c>
      <c r="AG369" s="25"/>
      <c r="AH369" s="25">
        <v>168.8</v>
      </c>
      <c r="AI369" s="25"/>
      <c r="AJ369" s="25">
        <v>174.2</v>
      </c>
      <c r="AK369" s="25"/>
      <c r="AL369" s="25">
        <v>184.4</v>
      </c>
      <c r="AM369" s="25"/>
      <c r="AN369" s="25">
        <v>170.9</v>
      </c>
      <c r="AO369" s="25"/>
      <c r="AP369" s="25">
        <v>177.4</v>
      </c>
    </row>
    <row r="370" spans="1:42" hidden="1" x14ac:dyDescent="0.3">
      <c r="A370" s="25" t="s">
        <v>34</v>
      </c>
      <c r="B370" s="25">
        <v>2023</v>
      </c>
      <c r="C370" s="25" t="s">
        <v>37</v>
      </c>
      <c r="D370" s="26">
        <f>DATE(B370,MATCH(TRIM(C370),{"January","February","March","April","May","June","July","August","September","October","November","December"},0),1)</f>
        <v>45017</v>
      </c>
      <c r="E370" s="25">
        <v>173.8</v>
      </c>
      <c r="F370" s="25">
        <v>209.3</v>
      </c>
      <c r="G370" s="25">
        <v>169.6</v>
      </c>
      <c r="H370" s="25">
        <v>178.4</v>
      </c>
      <c r="I370" s="25">
        <v>174.9</v>
      </c>
      <c r="J370" s="25">
        <v>176.3</v>
      </c>
      <c r="K370" s="25">
        <v>155.4</v>
      </c>
      <c r="L370" s="25">
        <v>173.4</v>
      </c>
      <c r="M370" s="25">
        <v>121.3</v>
      </c>
      <c r="N370" s="25">
        <v>212.9</v>
      </c>
      <c r="O370" s="25">
        <v>172.9</v>
      </c>
      <c r="P370" s="25">
        <v>193.5</v>
      </c>
      <c r="Q370" s="25">
        <v>177.9</v>
      </c>
      <c r="R370" s="25"/>
      <c r="S370" s="25">
        <v>200.6</v>
      </c>
      <c r="T370" s="25"/>
      <c r="U370" s="25">
        <v>186.9</v>
      </c>
      <c r="V370" s="25">
        <v>179.2</v>
      </c>
      <c r="W370" s="25">
        <v>185.7</v>
      </c>
      <c r="X370" s="25"/>
      <c r="Y370" s="25">
        <v>175.2</v>
      </c>
      <c r="Z370" s="25">
        <v>181.7</v>
      </c>
      <c r="AA370" s="25"/>
      <c r="AB370" s="25">
        <v>174.6</v>
      </c>
      <c r="AC370" s="25"/>
      <c r="AD370" s="25">
        <v>185</v>
      </c>
      <c r="AE370" s="25"/>
      <c r="AF370" s="25">
        <v>164.5</v>
      </c>
      <c r="AG370" s="25"/>
      <c r="AH370" s="25">
        <v>170.7</v>
      </c>
      <c r="AI370" s="25"/>
      <c r="AJ370" s="25">
        <v>176.4</v>
      </c>
      <c r="AK370" s="25"/>
      <c r="AL370" s="25">
        <v>184</v>
      </c>
      <c r="AM370" s="25"/>
      <c r="AN370" s="25">
        <v>175</v>
      </c>
      <c r="AO370" s="25"/>
      <c r="AP370" s="25">
        <v>178.1</v>
      </c>
    </row>
    <row r="371" spans="1:42" hidden="1" x14ac:dyDescent="0.3">
      <c r="A371" s="25" t="s">
        <v>30</v>
      </c>
      <c r="B371" s="25">
        <v>2023</v>
      </c>
      <c r="C371" s="25" t="s">
        <v>38</v>
      </c>
      <c r="D371" s="26">
        <f>DATE(B371,MATCH(TRIM(C371),{"January","February","March","April","May","June","July","August","September","October","November","December"},0),1)</f>
        <v>45047</v>
      </c>
      <c r="E371" s="25">
        <v>173.2</v>
      </c>
      <c r="F371" s="25">
        <v>211.5</v>
      </c>
      <c r="G371" s="25">
        <v>171</v>
      </c>
      <c r="H371" s="25">
        <v>179.6</v>
      </c>
      <c r="I371" s="25">
        <v>173.3</v>
      </c>
      <c r="J371" s="25">
        <v>169</v>
      </c>
      <c r="K371" s="25">
        <v>148.69999999999999</v>
      </c>
      <c r="L371" s="25">
        <v>174.9</v>
      </c>
      <c r="M371" s="25">
        <v>121.9</v>
      </c>
      <c r="N371" s="25">
        <v>221</v>
      </c>
      <c r="O371" s="25">
        <v>178.7</v>
      </c>
      <c r="P371" s="25">
        <v>191.1</v>
      </c>
      <c r="Q371" s="25">
        <v>176.8</v>
      </c>
      <c r="R371" s="25"/>
      <c r="S371" s="25">
        <v>199.9</v>
      </c>
      <c r="T371" s="25"/>
      <c r="U371" s="25">
        <v>191.2</v>
      </c>
      <c r="V371" s="25">
        <v>187.9</v>
      </c>
      <c r="W371" s="25">
        <v>190.8</v>
      </c>
      <c r="X371" s="25"/>
      <c r="Y371" s="25">
        <v>139.25</v>
      </c>
      <c r="Z371" s="25">
        <v>182.5</v>
      </c>
      <c r="AA371" s="25"/>
      <c r="AB371" s="25">
        <v>179.8</v>
      </c>
      <c r="AC371" s="25"/>
      <c r="AD371" s="25">
        <v>187.8</v>
      </c>
      <c r="AE371" s="25"/>
      <c r="AF371" s="25">
        <v>169.7</v>
      </c>
      <c r="AG371" s="25"/>
      <c r="AH371" s="25">
        <v>173.8</v>
      </c>
      <c r="AI371" s="25"/>
      <c r="AJ371" s="25">
        <v>180.3</v>
      </c>
      <c r="AK371" s="25"/>
      <c r="AL371" s="25">
        <v>184.9</v>
      </c>
      <c r="AM371" s="25"/>
      <c r="AN371" s="25">
        <v>179.5</v>
      </c>
      <c r="AO371" s="25"/>
      <c r="AP371" s="25">
        <v>179.8</v>
      </c>
    </row>
    <row r="372" spans="1:42" hidden="1" x14ac:dyDescent="0.3">
      <c r="A372" s="25" t="s">
        <v>33</v>
      </c>
      <c r="B372" s="25">
        <v>2023</v>
      </c>
      <c r="C372" s="25" t="s">
        <v>38</v>
      </c>
      <c r="D372" s="26">
        <f>DATE(B372,MATCH(TRIM(C372),{"January","February","March","April","May","June","July","August","September","October","November","December"},0),1)</f>
        <v>45047</v>
      </c>
      <c r="E372" s="25">
        <v>174.7</v>
      </c>
      <c r="F372" s="25">
        <v>219.4</v>
      </c>
      <c r="G372" s="25">
        <v>176.7</v>
      </c>
      <c r="H372" s="25">
        <v>179.4</v>
      </c>
      <c r="I372" s="25">
        <v>164.4</v>
      </c>
      <c r="J372" s="25">
        <v>175.8</v>
      </c>
      <c r="K372" s="25">
        <v>185</v>
      </c>
      <c r="L372" s="25">
        <v>176.9</v>
      </c>
      <c r="M372" s="25">
        <v>124.2</v>
      </c>
      <c r="N372" s="25">
        <v>211.9</v>
      </c>
      <c r="O372" s="25">
        <v>165.9</v>
      </c>
      <c r="P372" s="25">
        <v>197.7</v>
      </c>
      <c r="Q372" s="25">
        <v>183.1</v>
      </c>
      <c r="R372" s="25"/>
      <c r="S372" s="25">
        <v>204.2</v>
      </c>
      <c r="T372" s="25"/>
      <c r="U372" s="25">
        <v>181.3</v>
      </c>
      <c r="V372" s="25">
        <v>168.1</v>
      </c>
      <c r="W372" s="25">
        <v>179.3</v>
      </c>
      <c r="X372" s="25"/>
      <c r="Y372" s="25">
        <v>175.6</v>
      </c>
      <c r="Z372" s="25">
        <v>183.4</v>
      </c>
      <c r="AA372" s="25"/>
      <c r="AB372" s="25">
        <v>170.1</v>
      </c>
      <c r="AC372" s="25"/>
      <c r="AD372" s="25">
        <v>182.2</v>
      </c>
      <c r="AE372" s="25"/>
      <c r="AF372" s="25">
        <v>160.4</v>
      </c>
      <c r="AG372" s="25"/>
      <c r="AH372" s="25">
        <v>169.2</v>
      </c>
      <c r="AI372" s="25"/>
      <c r="AJ372" s="25">
        <v>174.8</v>
      </c>
      <c r="AK372" s="25"/>
      <c r="AL372" s="25">
        <v>185.6</v>
      </c>
      <c r="AM372" s="25"/>
      <c r="AN372" s="25">
        <v>171.6</v>
      </c>
      <c r="AO372" s="25"/>
      <c r="AP372" s="25">
        <v>178.2</v>
      </c>
    </row>
    <row r="373" spans="1:42" hidden="1" x14ac:dyDescent="0.3">
      <c r="A373" s="25" t="s">
        <v>34</v>
      </c>
      <c r="B373" s="25">
        <v>2023</v>
      </c>
      <c r="C373" s="25" t="s">
        <v>38</v>
      </c>
      <c r="D373" s="26">
        <f>DATE(B373,MATCH(TRIM(C373),{"January","February","March","April","May","June","July","August","September","October","November","December"},0),1)</f>
        <v>45047</v>
      </c>
      <c r="E373" s="25">
        <v>173.7</v>
      </c>
      <c r="F373" s="25">
        <v>214.3</v>
      </c>
      <c r="G373" s="25">
        <v>173.2</v>
      </c>
      <c r="H373" s="25">
        <v>179.5</v>
      </c>
      <c r="I373" s="25">
        <v>170</v>
      </c>
      <c r="J373" s="25">
        <v>172.2</v>
      </c>
      <c r="K373" s="25">
        <v>161</v>
      </c>
      <c r="L373" s="25">
        <v>175.6</v>
      </c>
      <c r="M373" s="25">
        <v>122.7</v>
      </c>
      <c r="N373" s="25">
        <v>218</v>
      </c>
      <c r="O373" s="25">
        <v>173.4</v>
      </c>
      <c r="P373" s="25">
        <v>194.2</v>
      </c>
      <c r="Q373" s="25">
        <v>179.1</v>
      </c>
      <c r="R373" s="25"/>
      <c r="S373" s="25">
        <v>201</v>
      </c>
      <c r="T373" s="25"/>
      <c r="U373" s="25">
        <v>187.3</v>
      </c>
      <c r="V373" s="25">
        <v>179.7</v>
      </c>
      <c r="W373" s="25">
        <v>186.2</v>
      </c>
      <c r="X373" s="25"/>
      <c r="Y373" s="25">
        <v>175.6</v>
      </c>
      <c r="Z373" s="25">
        <v>182.8</v>
      </c>
      <c r="AA373" s="25"/>
      <c r="AB373" s="25">
        <v>175.2</v>
      </c>
      <c r="AC373" s="25"/>
      <c r="AD373" s="25">
        <v>185.7</v>
      </c>
      <c r="AE373" s="25"/>
      <c r="AF373" s="25">
        <v>164.8</v>
      </c>
      <c r="AG373" s="25"/>
      <c r="AH373" s="25">
        <v>171.2</v>
      </c>
      <c r="AI373" s="25"/>
      <c r="AJ373" s="25">
        <v>177.1</v>
      </c>
      <c r="AK373" s="25"/>
      <c r="AL373" s="25">
        <v>185.2</v>
      </c>
      <c r="AM373" s="25"/>
      <c r="AN373" s="25">
        <v>175.7</v>
      </c>
      <c r="AO373" s="25"/>
      <c r="AP373" s="25">
        <v>179.1</v>
      </c>
    </row>
  </sheetData>
  <autoFilter ref="A1:AQ373" xr:uid="{5B55C4FC-3393-4237-9CEF-B240355180A6}">
    <filterColumn colId="0">
      <filters>
        <filter val="Rural+Urban"/>
      </filters>
    </filterColumn>
    <filterColumn colId="3">
      <filters>
        <dateGroupItem year="2023" month="1" dateTimeGrouping="month"/>
        <dateGroupItem year="2023" month="2" dateTimeGrouping="month"/>
        <dateGroupItem year="2023" month="3" dateTimeGrouping="month"/>
        <dateGroupItem year="2022" dateTimeGrouping="year"/>
        <dateGroupItem year="2021" dateTimeGrouping="ye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CEB1-2E97-452B-A7C0-BACA91528B4E}">
  <dimension ref="A1:AH28"/>
  <sheetViews>
    <sheetView topLeftCell="Y1" workbookViewId="0">
      <selection activeCell="AF14" sqref="AF14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9.77734375" bestFit="1" customWidth="1"/>
    <col min="4" max="4" width="11" bestFit="1" customWidth="1"/>
    <col min="5" max="5" width="18.109375" bestFit="1" customWidth="1"/>
    <col min="6" max="6" width="26.5546875" bestFit="1" customWidth="1"/>
    <col min="7" max="7" width="25.6640625" bestFit="1" customWidth="1"/>
    <col min="8" max="8" width="15.6640625" bestFit="1" customWidth="1"/>
    <col min="9" max="9" width="20" bestFit="1" customWidth="1"/>
    <col min="10" max="10" width="28.6640625" bestFit="1" customWidth="1"/>
    <col min="11" max="11" width="12.21875" bestFit="1" customWidth="1"/>
    <col min="12" max="12" width="21.109375" bestFit="1" customWidth="1"/>
    <col min="13" max="13" width="26.6640625" bestFit="1" customWidth="1"/>
    <col min="14" max="14" width="31.21875" bestFit="1" customWidth="1"/>
    <col min="15" max="15" width="6.44140625" bestFit="1" customWidth="1"/>
    <col min="16" max="16" width="14.77734375" bestFit="1" customWidth="1"/>
    <col min="17" max="17" width="26.88671875" bestFit="1" customWidth="1"/>
    <col min="18" max="18" width="24.33203125" bestFit="1" customWidth="1"/>
    <col min="19" max="19" width="24.44140625" bestFit="1" customWidth="1"/>
    <col min="20" max="20" width="32.44140625" bestFit="1" customWidth="1"/>
    <col min="21" max="21" width="9.44140625" bestFit="1" customWidth="1"/>
    <col min="22" max="22" width="16.77734375" bestFit="1" customWidth="1"/>
    <col min="23" max="23" width="22.33203125" bestFit="1" customWidth="1"/>
    <col min="24" max="24" width="30" bestFit="1" customWidth="1"/>
    <col min="25" max="25" width="12.88671875" bestFit="1" customWidth="1"/>
    <col min="26" max="26" width="19.77734375" bestFit="1" customWidth="1"/>
    <col min="27" max="27" width="12.44140625" bestFit="1" customWidth="1"/>
    <col min="28" max="28" width="19.88671875" bestFit="1" customWidth="1"/>
    <col min="29" max="29" width="8.6640625" bestFit="1" customWidth="1"/>
    <col min="30" max="30" width="15.88671875" bestFit="1" customWidth="1"/>
    <col min="31" max="31" width="19.88671875" bestFit="1" customWidth="1"/>
    <col min="32" max="32" width="26.88671875" bestFit="1" customWidth="1"/>
    <col min="33" max="33" width="27.109375" bestFit="1" customWidth="1"/>
    <col min="34" max="34" width="24.44140625" bestFit="1" customWidth="1"/>
    <col min="35" max="35" width="32.44140625" bestFit="1" customWidth="1"/>
    <col min="36" max="36" width="9.44140625" bestFit="1" customWidth="1"/>
    <col min="37" max="37" width="16.77734375" bestFit="1" customWidth="1"/>
    <col min="38" max="38" width="22.33203125" bestFit="1" customWidth="1"/>
    <col min="39" max="39" width="30" bestFit="1" customWidth="1"/>
    <col min="40" max="40" width="12.88671875" bestFit="1" customWidth="1"/>
    <col min="41" max="41" width="19.77734375" bestFit="1" customWidth="1"/>
    <col min="42" max="42" width="12.44140625" bestFit="1" customWidth="1"/>
    <col min="43" max="43" width="19.88671875" bestFit="1" customWidth="1"/>
  </cols>
  <sheetData>
    <row r="1" spans="1:34" x14ac:dyDescent="0.3">
      <c r="A1" s="27" t="s">
        <v>0</v>
      </c>
      <c r="B1" s="27" t="s">
        <v>1</v>
      </c>
      <c r="C1" s="27" t="s">
        <v>2</v>
      </c>
      <c r="D1" s="27" t="s">
        <v>107</v>
      </c>
      <c r="E1" s="27" t="s">
        <v>15</v>
      </c>
      <c r="F1" s="27" t="s">
        <v>175</v>
      </c>
      <c r="G1" s="27" t="s">
        <v>16</v>
      </c>
      <c r="H1" s="27" t="s">
        <v>176</v>
      </c>
      <c r="I1" s="27" t="s">
        <v>19</v>
      </c>
      <c r="J1" s="27" t="s">
        <v>177</v>
      </c>
      <c r="K1" s="27" t="s">
        <v>21</v>
      </c>
      <c r="L1" s="27" t="s">
        <v>178</v>
      </c>
      <c r="M1" s="27" t="s">
        <v>22</v>
      </c>
      <c r="N1" s="27" t="s">
        <v>179</v>
      </c>
      <c r="O1" s="27" t="s">
        <v>23</v>
      </c>
      <c r="P1" s="27" t="s">
        <v>180</v>
      </c>
      <c r="Q1" s="27" t="s">
        <v>24</v>
      </c>
      <c r="R1" s="27" t="s">
        <v>181</v>
      </c>
      <c r="S1" s="27" t="s">
        <v>25</v>
      </c>
      <c r="T1" s="27" t="s">
        <v>182</v>
      </c>
      <c r="U1" s="27" t="s">
        <v>26</v>
      </c>
      <c r="V1" s="27" t="s">
        <v>183</v>
      </c>
      <c r="W1" s="27" t="s">
        <v>27</v>
      </c>
      <c r="X1" s="27" t="s">
        <v>184</v>
      </c>
      <c r="Y1" s="27" t="s">
        <v>28</v>
      </c>
      <c r="Z1" s="27" t="s">
        <v>185</v>
      </c>
      <c r="AA1" s="27" t="s">
        <v>29</v>
      </c>
      <c r="AB1" s="28" t="s">
        <v>186</v>
      </c>
      <c r="AC1" s="54" t="s">
        <v>187</v>
      </c>
      <c r="AD1" s="54" t="s">
        <v>188</v>
      </c>
      <c r="AG1" s="55" t="s">
        <v>198</v>
      </c>
      <c r="AH1" s="55" t="s">
        <v>199</v>
      </c>
    </row>
    <row r="2" spans="1:34" x14ac:dyDescent="0.3">
      <c r="A2" s="25" t="s">
        <v>34</v>
      </c>
      <c r="B2" s="25">
        <v>2021</v>
      </c>
      <c r="C2" s="25" t="s">
        <v>31</v>
      </c>
      <c r="D2" s="26">
        <v>44197</v>
      </c>
      <c r="E2" s="25">
        <v>161</v>
      </c>
      <c r="F2" s="52"/>
      <c r="G2" s="25">
        <v>186.5</v>
      </c>
      <c r="H2" s="52"/>
      <c r="I2" s="25">
        <v>154.19999999999999</v>
      </c>
      <c r="J2" s="52"/>
      <c r="K2" s="25">
        <v>147.9</v>
      </c>
      <c r="L2" s="52"/>
      <c r="M2" s="25">
        <v>150</v>
      </c>
      <c r="N2" s="52"/>
      <c r="O2" s="25">
        <v>159.30000000000001</v>
      </c>
      <c r="P2" s="52"/>
      <c r="Q2" s="25">
        <v>141.9</v>
      </c>
      <c r="R2" s="52"/>
      <c r="S2" s="25">
        <v>149.6</v>
      </c>
      <c r="T2" s="52"/>
      <c r="U2" s="25">
        <v>159.19999999999999</v>
      </c>
      <c r="V2" s="52"/>
      <c r="W2" s="25">
        <v>156.80000000000001</v>
      </c>
      <c r="X2" s="52"/>
      <c r="Y2" s="25">
        <v>151.9</v>
      </c>
      <c r="Z2" s="52"/>
      <c r="AA2" s="25">
        <v>157.30000000000001</v>
      </c>
      <c r="AB2" s="51"/>
      <c r="AC2">
        <f>VLOOKUP(D2,'crude oil'!A1:E28,4,0)</f>
        <v>54.79</v>
      </c>
      <c r="AD2" s="51"/>
      <c r="AG2" s="56"/>
      <c r="AH2" s="56"/>
    </row>
    <row r="3" spans="1:34" x14ac:dyDescent="0.3">
      <c r="A3" s="25" t="s">
        <v>34</v>
      </c>
      <c r="B3" s="25">
        <v>2021</v>
      </c>
      <c r="C3" s="25" t="s">
        <v>35</v>
      </c>
      <c r="D3" s="26">
        <v>44228</v>
      </c>
      <c r="E3" s="25">
        <v>156.9</v>
      </c>
      <c r="F3" s="52">
        <f>(E3-E2)/E2</f>
        <v>-2.5465838509316736E-2</v>
      </c>
      <c r="G3" s="25">
        <v>188.3</v>
      </c>
      <c r="H3" s="52">
        <f>(G3-G2)/G2</f>
        <v>9.6514745308311604E-3</v>
      </c>
      <c r="I3" s="25">
        <v>155.80000000000001</v>
      </c>
      <c r="J3" s="52">
        <f>(I3-I2)/I2</f>
        <v>1.0376134889753716E-2</v>
      </c>
      <c r="K3" s="25">
        <v>152.4</v>
      </c>
      <c r="L3" s="52">
        <f>(K3-K2)/K2</f>
        <v>3.0425963488843813E-2</v>
      </c>
      <c r="M3" s="25">
        <v>150.9</v>
      </c>
      <c r="N3" s="52">
        <f>(M3-M2)/M2</f>
        <v>6.0000000000000383E-3</v>
      </c>
      <c r="O3" s="25">
        <v>161.30000000000001</v>
      </c>
      <c r="P3" s="52">
        <f>(O3-O2)/O2</f>
        <v>1.2554927809165096E-2</v>
      </c>
      <c r="Q3" s="25">
        <v>145.1</v>
      </c>
      <c r="R3" s="52">
        <f>(Q3-Q2)/Q2</f>
        <v>2.2551092318534097E-2</v>
      </c>
      <c r="S3" s="25">
        <v>151.5</v>
      </c>
      <c r="T3" s="52">
        <f>(S3-S2)/S2</f>
        <v>1.2700534759358327E-2</v>
      </c>
      <c r="U3" s="25">
        <v>159.5</v>
      </c>
      <c r="V3" s="52">
        <f>(U3-U2)/U2</f>
        <v>1.8844221105528353E-3</v>
      </c>
      <c r="W3" s="25">
        <v>155.80000000000001</v>
      </c>
      <c r="X3" s="52">
        <f>(W3-W2)/W2</f>
        <v>-6.3775510204081625E-3</v>
      </c>
      <c r="Y3" s="25">
        <v>153.4</v>
      </c>
      <c r="Z3" s="52">
        <f>(Y3-Y2)/Y2</f>
        <v>9.8749177090190904E-3</v>
      </c>
      <c r="AA3" s="25">
        <v>156.6</v>
      </c>
      <c r="AB3" s="51">
        <f>(AA3-AA2)/AA2</f>
        <v>-4.4500953591863762E-3</v>
      </c>
      <c r="AC3">
        <f>VLOOKUP(D3,'crude oil'!A2:E29,4,0)</f>
        <v>61.22</v>
      </c>
      <c r="AD3" s="51">
        <f>VLOOKUP(D3,'crude oil'!A2:E29,5,0)</f>
        <v>0.11735718196751231</v>
      </c>
      <c r="AG3" s="55" t="s">
        <v>189</v>
      </c>
      <c r="AH3" s="56">
        <f>CORREL(F:F,AD:AD)</f>
        <v>0.10939845063603754</v>
      </c>
    </row>
    <row r="4" spans="1:34" x14ac:dyDescent="0.3">
      <c r="A4" s="25" t="s">
        <v>34</v>
      </c>
      <c r="B4" s="25">
        <v>2021</v>
      </c>
      <c r="C4" s="25" t="s">
        <v>36</v>
      </c>
      <c r="D4" s="26">
        <v>44256</v>
      </c>
      <c r="E4" s="25">
        <v>156.69999999999999</v>
      </c>
      <c r="F4" s="52">
        <f t="shared" ref="F4:F28" si="0">(E4-E3)/E3</f>
        <v>-1.2746972594010009E-3</v>
      </c>
      <c r="G4" s="25">
        <v>188.1</v>
      </c>
      <c r="H4" s="52">
        <f t="shared" ref="H4:H28" si="1">(G4-G3)/G3</f>
        <v>-1.0621348911312642E-3</v>
      </c>
      <c r="I4" s="25">
        <v>156.4</v>
      </c>
      <c r="J4" s="52">
        <f t="shared" ref="J4:J28" si="2">(I4-I3)/I3</f>
        <v>3.8510911424903356E-3</v>
      </c>
      <c r="K4" s="25">
        <v>155.5</v>
      </c>
      <c r="L4" s="52">
        <f t="shared" ref="L4:L28" si="3">(K4-K3)/K3</f>
        <v>2.0341207349081326E-2</v>
      </c>
      <c r="M4" s="25">
        <v>151.19999999999999</v>
      </c>
      <c r="N4" s="52">
        <f t="shared" ref="N4:N28" si="4">(M4-M3)/M3</f>
        <v>1.9880715705764278E-3</v>
      </c>
      <c r="O4" s="25">
        <v>161.69999999999999</v>
      </c>
      <c r="P4" s="52">
        <f t="shared" ref="P4:P28" si="5">(O4-O3)/O3</f>
        <v>2.4798512089273233E-3</v>
      </c>
      <c r="Q4" s="25">
        <v>146.19999999999999</v>
      </c>
      <c r="R4" s="52">
        <f t="shared" ref="R4:R28" si="6">(Q4-Q3)/Q3</f>
        <v>7.5809786354238068E-3</v>
      </c>
      <c r="S4" s="25">
        <v>152.6</v>
      </c>
      <c r="T4" s="52">
        <f t="shared" ref="T4:T28" si="7">(S4-S3)/S3</f>
        <v>7.2607260726072235E-3</v>
      </c>
      <c r="U4" s="25">
        <v>160.19999999999999</v>
      </c>
      <c r="V4" s="52">
        <f t="shared" ref="V4:V28" si="8">(U4-U3)/U3</f>
        <v>4.3887147335422488E-3</v>
      </c>
      <c r="W4" s="25">
        <v>153.80000000000001</v>
      </c>
      <c r="X4" s="52">
        <f t="shared" ref="X4:X28" si="9">(W4-W3)/W3</f>
        <v>-1.2836970474967907E-2</v>
      </c>
      <c r="Y4" s="25">
        <v>153.80000000000001</v>
      </c>
      <c r="Z4" s="52">
        <f t="shared" ref="Z4:Z28" si="10">(Y4-Y3)/Y3</f>
        <v>2.6075619295958647E-3</v>
      </c>
      <c r="AA4" s="25">
        <v>156.80000000000001</v>
      </c>
      <c r="AB4" s="51">
        <f t="shared" ref="AB4:AB28" si="11">(AA4-AA3)/AA3</f>
        <v>1.2771392081737999E-3</v>
      </c>
      <c r="AC4">
        <f>VLOOKUP(D4,'crude oil'!A3:E30,4,0)</f>
        <v>64.73</v>
      </c>
      <c r="AD4" s="51">
        <f>VLOOKUP(D4,'crude oil'!A3:E30,5,0)</f>
        <v>5.7334204508330697E-2</v>
      </c>
      <c r="AG4" s="55" t="s">
        <v>190</v>
      </c>
      <c r="AH4" s="56">
        <f>CORREL(H:H,AD:AD)</f>
        <v>0.13968413716994257</v>
      </c>
    </row>
    <row r="5" spans="1:34" x14ac:dyDescent="0.3">
      <c r="A5" s="25" t="s">
        <v>34</v>
      </c>
      <c r="B5" s="25">
        <v>2021</v>
      </c>
      <c r="C5" s="25" t="s">
        <v>37</v>
      </c>
      <c r="D5" s="26">
        <v>44287</v>
      </c>
      <c r="E5" s="25">
        <v>158</v>
      </c>
      <c r="F5" s="52">
        <f t="shared" si="0"/>
        <v>8.2961072112317253E-3</v>
      </c>
      <c r="G5" s="25">
        <v>188.8</v>
      </c>
      <c r="H5" s="52">
        <f t="shared" si="1"/>
        <v>3.7214247740564436E-3</v>
      </c>
      <c r="I5" s="25">
        <v>157.30000000000001</v>
      </c>
      <c r="J5" s="52">
        <f t="shared" si="2"/>
        <v>5.7544757033248439E-3</v>
      </c>
      <c r="K5" s="25">
        <v>155.6</v>
      </c>
      <c r="L5" s="52">
        <f t="shared" si="3"/>
        <v>6.4308681672022071E-4</v>
      </c>
      <c r="M5" s="25">
        <v>151.80000000000001</v>
      </c>
      <c r="N5" s="52">
        <f t="shared" si="4"/>
        <v>3.968253968254119E-3</v>
      </c>
      <c r="O5" s="25">
        <v>162.30000000000001</v>
      </c>
      <c r="P5" s="52">
        <f t="shared" si="5"/>
        <v>3.7105751391467087E-3</v>
      </c>
      <c r="Q5" s="25">
        <v>146.6</v>
      </c>
      <c r="R5" s="52">
        <f t="shared" si="6"/>
        <v>2.7359781121751416E-3</v>
      </c>
      <c r="S5" s="25">
        <v>153.19999999999999</v>
      </c>
      <c r="T5" s="52">
        <f t="shared" si="7"/>
        <v>3.9318479685451794E-3</v>
      </c>
      <c r="U5" s="25">
        <v>160.30000000000001</v>
      </c>
      <c r="V5" s="52">
        <f t="shared" si="8"/>
        <v>6.2421972534346278E-4</v>
      </c>
      <c r="W5" s="25">
        <v>155.4</v>
      </c>
      <c r="X5" s="52">
        <f t="shared" si="9"/>
        <v>1.0403120936280846E-2</v>
      </c>
      <c r="Y5" s="25">
        <v>154.4</v>
      </c>
      <c r="Z5" s="52">
        <f t="shared" si="10"/>
        <v>3.9011703511052944E-3</v>
      </c>
      <c r="AA5" s="25">
        <v>157.80000000000001</v>
      </c>
      <c r="AB5" s="51">
        <f t="shared" si="11"/>
        <v>6.3775510204081625E-3</v>
      </c>
      <c r="AC5">
        <f>VLOOKUP(D5,'crude oil'!A4:E31,4,0)</f>
        <v>63.4</v>
      </c>
      <c r="AD5" s="51">
        <f>VLOOKUP(D5,'crude oil'!A4:E31,5,0)</f>
        <v>-2.0546887069365138E-2</v>
      </c>
      <c r="AG5" s="55" t="s">
        <v>191</v>
      </c>
      <c r="AH5" s="56">
        <f>CORREL(J:J,AD:AD)</f>
        <v>0.1049685670817006</v>
      </c>
    </row>
    <row r="6" spans="1:34" x14ac:dyDescent="0.3">
      <c r="A6" s="25" t="s">
        <v>34</v>
      </c>
      <c r="B6" s="25">
        <v>2021</v>
      </c>
      <c r="C6" s="25" t="s">
        <v>38</v>
      </c>
      <c r="D6" s="26">
        <v>44317</v>
      </c>
      <c r="E6" s="25">
        <v>160.69999999999999</v>
      </c>
      <c r="F6" s="52">
        <f t="shared" si="0"/>
        <v>1.7088607594936637E-2</v>
      </c>
      <c r="G6" s="25">
        <v>191.9</v>
      </c>
      <c r="H6" s="52">
        <f t="shared" si="1"/>
        <v>1.6419491525423699E-2</v>
      </c>
      <c r="I6" s="25">
        <v>160.4</v>
      </c>
      <c r="J6" s="52">
        <f t="shared" si="2"/>
        <v>1.9707565162110578E-2</v>
      </c>
      <c r="K6" s="25">
        <v>159.4</v>
      </c>
      <c r="L6" s="52">
        <f t="shared" si="3"/>
        <v>2.4421593830334265E-2</v>
      </c>
      <c r="M6" s="25">
        <v>154.69999999999999</v>
      </c>
      <c r="N6" s="52">
        <f t="shared" si="4"/>
        <v>1.9104084321475475E-2</v>
      </c>
      <c r="O6" s="25">
        <v>165.8</v>
      </c>
      <c r="P6" s="52">
        <f t="shared" si="5"/>
        <v>2.1565003080714726E-2</v>
      </c>
      <c r="Q6" s="25">
        <v>148.9</v>
      </c>
      <c r="R6" s="52">
        <f t="shared" si="6"/>
        <v>1.568894952251031E-2</v>
      </c>
      <c r="S6" s="25">
        <v>155.80000000000001</v>
      </c>
      <c r="T6" s="52">
        <f t="shared" si="7"/>
        <v>1.6971279373368297E-2</v>
      </c>
      <c r="U6" s="25">
        <v>161.19999999999999</v>
      </c>
      <c r="V6" s="52">
        <f t="shared" si="8"/>
        <v>5.6144728633810183E-3</v>
      </c>
      <c r="W6" s="25">
        <v>158.6</v>
      </c>
      <c r="X6" s="52">
        <f t="shared" si="9"/>
        <v>2.0592020592020518E-2</v>
      </c>
      <c r="Y6" s="25">
        <v>156.80000000000001</v>
      </c>
      <c r="Z6" s="52">
        <f t="shared" si="10"/>
        <v>1.5544041450777238E-2</v>
      </c>
      <c r="AA6" s="25">
        <v>160.4</v>
      </c>
      <c r="AB6" s="51">
        <f t="shared" si="11"/>
        <v>1.6476552598225565E-2</v>
      </c>
      <c r="AC6">
        <f>VLOOKUP(D6,'crude oil'!A5:E32,4,0)</f>
        <v>66.95</v>
      </c>
      <c r="AD6" s="51">
        <f>VLOOKUP(D6,'crude oil'!A5:E32,5,0)</f>
        <v>5.5993690851735084E-2</v>
      </c>
      <c r="AG6" s="55" t="s">
        <v>192</v>
      </c>
      <c r="AH6" s="56">
        <f>CORREL(L:L,AD:AD)</f>
        <v>0.13261758029175935</v>
      </c>
    </row>
    <row r="7" spans="1:34" x14ac:dyDescent="0.3">
      <c r="A7" s="25" t="s">
        <v>34</v>
      </c>
      <c r="B7" s="25">
        <v>2021</v>
      </c>
      <c r="C7" s="25" t="s">
        <v>39</v>
      </c>
      <c r="D7" s="26">
        <v>44348</v>
      </c>
      <c r="E7" s="25">
        <v>162.6</v>
      </c>
      <c r="F7" s="52">
        <f t="shared" si="0"/>
        <v>1.1823273179838244E-2</v>
      </c>
      <c r="G7" s="25">
        <v>190.8</v>
      </c>
      <c r="H7" s="52">
        <f t="shared" si="1"/>
        <v>-5.7321521625846496E-3</v>
      </c>
      <c r="I7" s="25">
        <v>160.69999999999999</v>
      </c>
      <c r="J7" s="52">
        <f t="shared" si="2"/>
        <v>1.8703241895260782E-3</v>
      </c>
      <c r="K7" s="25">
        <v>159.80000000000001</v>
      </c>
      <c r="L7" s="52">
        <f t="shared" si="3"/>
        <v>2.5094102885822186E-3</v>
      </c>
      <c r="M7" s="25">
        <v>154.80000000000001</v>
      </c>
      <c r="N7" s="52">
        <f t="shared" si="4"/>
        <v>6.4641241111844047E-4</v>
      </c>
      <c r="O7" s="25">
        <v>166.3</v>
      </c>
      <c r="P7" s="52">
        <f t="shared" si="5"/>
        <v>3.0156815440289505E-3</v>
      </c>
      <c r="Q7" s="25">
        <v>150.69999999999999</v>
      </c>
      <c r="R7" s="52">
        <f t="shared" si="6"/>
        <v>1.2088650100738636E-2</v>
      </c>
      <c r="S7" s="25">
        <v>154.9</v>
      </c>
      <c r="T7" s="52">
        <f t="shared" si="7"/>
        <v>-5.7766367137355949E-3</v>
      </c>
      <c r="U7" s="25">
        <v>161.69999999999999</v>
      </c>
      <c r="V7" s="52">
        <f t="shared" si="8"/>
        <v>3.1017369727047149E-3</v>
      </c>
      <c r="W7" s="25">
        <v>158.80000000000001</v>
      </c>
      <c r="X7" s="52">
        <f t="shared" si="9"/>
        <v>1.2610340479194014E-3</v>
      </c>
      <c r="Y7" s="25">
        <v>157.6</v>
      </c>
      <c r="Z7" s="52">
        <f t="shared" si="10"/>
        <v>5.1020408163264218E-3</v>
      </c>
      <c r="AA7" s="25">
        <v>161.30000000000001</v>
      </c>
      <c r="AB7" s="51">
        <f t="shared" si="11"/>
        <v>5.6109725685785893E-3</v>
      </c>
      <c r="AC7">
        <f>VLOOKUP(D7,'crude oil'!A6:E33,4,0)</f>
        <v>71.98</v>
      </c>
      <c r="AD7" s="51">
        <f>VLOOKUP(D7,'crude oil'!A6:E33,5,0)</f>
        <v>7.5130694548170285E-2</v>
      </c>
      <c r="AG7" s="55" t="s">
        <v>193</v>
      </c>
      <c r="AH7" s="56">
        <f>CORREL(N:N,AD:AD)</f>
        <v>-4.421400961092059E-3</v>
      </c>
    </row>
    <row r="8" spans="1:34" x14ac:dyDescent="0.3">
      <c r="A8" s="25" t="s">
        <v>34</v>
      </c>
      <c r="B8" s="25">
        <v>2021</v>
      </c>
      <c r="C8" s="25" t="s">
        <v>40</v>
      </c>
      <c r="D8" s="26">
        <v>44378</v>
      </c>
      <c r="E8" s="25">
        <v>164</v>
      </c>
      <c r="F8" s="52">
        <f t="shared" si="0"/>
        <v>8.6100861008610446E-3</v>
      </c>
      <c r="G8" s="25">
        <v>191.2</v>
      </c>
      <c r="H8" s="52">
        <f t="shared" si="1"/>
        <v>2.0964360587000905E-3</v>
      </c>
      <c r="I8" s="25">
        <v>161.4</v>
      </c>
      <c r="J8" s="52">
        <f t="shared" si="2"/>
        <v>4.3559427504668144E-3</v>
      </c>
      <c r="K8" s="25">
        <v>160.69999999999999</v>
      </c>
      <c r="L8" s="52">
        <f t="shared" si="3"/>
        <v>5.6320400500624356E-3</v>
      </c>
      <c r="M8" s="25">
        <v>155.80000000000001</v>
      </c>
      <c r="N8" s="52">
        <f t="shared" si="4"/>
        <v>6.4599483204134363E-3</v>
      </c>
      <c r="O8" s="25">
        <v>167</v>
      </c>
      <c r="P8" s="52">
        <f t="shared" si="5"/>
        <v>4.2092603728201361E-3</v>
      </c>
      <c r="Q8" s="25">
        <v>153.1</v>
      </c>
      <c r="R8" s="52">
        <f t="shared" si="6"/>
        <v>1.5925680159256841E-2</v>
      </c>
      <c r="S8" s="25">
        <v>155.30000000000001</v>
      </c>
      <c r="T8" s="52">
        <f t="shared" si="7"/>
        <v>2.5823111684958404E-3</v>
      </c>
      <c r="U8" s="25">
        <v>163.19999999999999</v>
      </c>
      <c r="V8" s="52">
        <f t="shared" si="8"/>
        <v>9.2764378478664197E-3</v>
      </c>
      <c r="W8" s="25">
        <v>160.1</v>
      </c>
      <c r="X8" s="52">
        <f t="shared" si="9"/>
        <v>8.1863979848865419E-3</v>
      </c>
      <c r="Y8" s="25">
        <v>159</v>
      </c>
      <c r="Z8" s="52">
        <f t="shared" si="10"/>
        <v>8.883248730964504E-3</v>
      </c>
      <c r="AA8" s="25">
        <v>162.5</v>
      </c>
      <c r="AB8" s="51">
        <f t="shared" si="11"/>
        <v>7.439553626782322E-3</v>
      </c>
      <c r="AC8">
        <f>VLOOKUP(D8,'crude oil'!A7:E34,4,0)</f>
        <v>73.540000000000006</v>
      </c>
      <c r="AD8" s="51">
        <f>VLOOKUP(D8,'crude oil'!A7:E34,5,0)</f>
        <v>2.1672686857460436E-2</v>
      </c>
      <c r="AG8" s="55" t="s">
        <v>23</v>
      </c>
      <c r="AH8" s="56">
        <f>CORREL(P:P,AD:AD)</f>
        <v>7.7797236538383482E-2</v>
      </c>
    </row>
    <row r="9" spans="1:34" x14ac:dyDescent="0.3">
      <c r="A9" s="25" t="s">
        <v>34</v>
      </c>
      <c r="B9" s="25">
        <v>2021</v>
      </c>
      <c r="C9" s="25" t="s">
        <v>41</v>
      </c>
      <c r="D9" s="26">
        <v>44409</v>
      </c>
      <c r="E9" s="25">
        <v>164</v>
      </c>
      <c r="F9" s="52">
        <f t="shared" si="0"/>
        <v>0</v>
      </c>
      <c r="G9" s="25">
        <v>192.1</v>
      </c>
      <c r="H9" s="52">
        <f t="shared" si="1"/>
        <v>4.7071129707113267E-3</v>
      </c>
      <c r="I9" s="25">
        <v>163.19999999999999</v>
      </c>
      <c r="J9" s="52">
        <f t="shared" si="2"/>
        <v>1.1152416356877217E-2</v>
      </c>
      <c r="K9" s="25">
        <v>162.6</v>
      </c>
      <c r="L9" s="52">
        <f t="shared" si="3"/>
        <v>1.1823273179838244E-2</v>
      </c>
      <c r="M9" s="25">
        <v>157.5</v>
      </c>
      <c r="N9" s="52">
        <f t="shared" si="4"/>
        <v>1.0911424903722648E-2</v>
      </c>
      <c r="O9" s="25">
        <v>168.4</v>
      </c>
      <c r="P9" s="52">
        <f t="shared" si="5"/>
        <v>8.3832335329341659E-3</v>
      </c>
      <c r="Q9" s="25">
        <v>154</v>
      </c>
      <c r="R9" s="52">
        <f t="shared" si="6"/>
        <v>5.8785107772697954E-3</v>
      </c>
      <c r="S9" s="25">
        <v>157.6</v>
      </c>
      <c r="T9" s="52">
        <f t="shared" si="7"/>
        <v>1.4810045074050114E-2</v>
      </c>
      <c r="U9" s="25">
        <v>163.80000000000001</v>
      </c>
      <c r="V9" s="52">
        <f t="shared" si="8"/>
        <v>3.6764705882354337E-3</v>
      </c>
      <c r="W9" s="25">
        <v>160</v>
      </c>
      <c r="X9" s="52">
        <f t="shared" si="9"/>
        <v>-6.2460961898809693E-4</v>
      </c>
      <c r="Y9" s="25">
        <v>160</v>
      </c>
      <c r="Z9" s="52">
        <f t="shared" si="10"/>
        <v>6.2893081761006293E-3</v>
      </c>
      <c r="AA9" s="25">
        <v>163.19999999999999</v>
      </c>
      <c r="AB9" s="51">
        <f t="shared" si="11"/>
        <v>4.3076923076922381E-3</v>
      </c>
      <c r="AC9">
        <f>VLOOKUP(D9,'crude oil'!A8:E35,4,0)</f>
        <v>69.8</v>
      </c>
      <c r="AD9" s="51">
        <f>VLOOKUP(D9,'crude oil'!A8:E35,5,0)</f>
        <v>-5.0856676638564163E-2</v>
      </c>
      <c r="AG9" s="55" t="s">
        <v>194</v>
      </c>
      <c r="AH9" s="56">
        <f>CORREL(R:R,AD:AD)</f>
        <v>9.7696080776778799E-2</v>
      </c>
    </row>
    <row r="10" spans="1:34" x14ac:dyDescent="0.3">
      <c r="A10" s="25" t="s">
        <v>34</v>
      </c>
      <c r="B10" s="25">
        <v>2021</v>
      </c>
      <c r="C10" s="25" t="s">
        <v>42</v>
      </c>
      <c r="D10" s="26">
        <v>44440</v>
      </c>
      <c r="E10" s="25">
        <v>164</v>
      </c>
      <c r="F10" s="52">
        <f t="shared" si="0"/>
        <v>0</v>
      </c>
      <c r="G10" s="25">
        <v>192.1</v>
      </c>
      <c r="H10" s="52">
        <f t="shared" si="1"/>
        <v>0</v>
      </c>
      <c r="I10" s="25">
        <v>163.30000000000001</v>
      </c>
      <c r="J10" s="52">
        <f t="shared" si="2"/>
        <v>6.12745098039355E-4</v>
      </c>
      <c r="K10" s="25">
        <v>162.6</v>
      </c>
      <c r="L10" s="52">
        <f t="shared" si="3"/>
        <v>0</v>
      </c>
      <c r="M10" s="25">
        <v>157.5</v>
      </c>
      <c r="N10" s="52">
        <f t="shared" si="4"/>
        <v>0</v>
      </c>
      <c r="O10" s="25">
        <v>168.4</v>
      </c>
      <c r="P10" s="52">
        <f t="shared" si="5"/>
        <v>0</v>
      </c>
      <c r="Q10" s="25">
        <v>154</v>
      </c>
      <c r="R10" s="52">
        <f t="shared" si="6"/>
        <v>0</v>
      </c>
      <c r="S10" s="25">
        <v>157.69999999999999</v>
      </c>
      <c r="T10" s="52">
        <f t="shared" si="7"/>
        <v>6.3451776649742588E-4</v>
      </c>
      <c r="U10" s="25">
        <v>163.69999999999999</v>
      </c>
      <c r="V10" s="52">
        <f t="shared" si="8"/>
        <v>-6.1050061050074928E-4</v>
      </c>
      <c r="W10" s="25">
        <v>160</v>
      </c>
      <c r="X10" s="52">
        <f t="shared" si="9"/>
        <v>0</v>
      </c>
      <c r="Y10" s="25">
        <v>160</v>
      </c>
      <c r="Z10" s="52">
        <f t="shared" si="10"/>
        <v>0</v>
      </c>
      <c r="AA10" s="25">
        <v>163.19999999999999</v>
      </c>
      <c r="AB10" s="51">
        <f t="shared" si="11"/>
        <v>0</v>
      </c>
      <c r="AC10">
        <f>VLOOKUP(D10,'crude oil'!A9:E36,4,0)</f>
        <v>73.13</v>
      </c>
      <c r="AD10" s="51">
        <f>VLOOKUP(D10,'crude oil'!A9:E36,5,0)</f>
        <v>4.7707736389684792E-2</v>
      </c>
      <c r="AG10" s="55" t="s">
        <v>195</v>
      </c>
      <c r="AH10" s="56">
        <f>CORREL(T:T,AD:AD)</f>
        <v>0.12837905719151088</v>
      </c>
    </row>
    <row r="11" spans="1:34" x14ac:dyDescent="0.3">
      <c r="A11" s="25" t="s">
        <v>34</v>
      </c>
      <c r="B11" s="25">
        <v>2021</v>
      </c>
      <c r="C11" s="25" t="s">
        <v>43</v>
      </c>
      <c r="D11" s="26">
        <v>44470</v>
      </c>
      <c r="E11" s="25">
        <v>167.7</v>
      </c>
      <c r="F11" s="52">
        <f t="shared" si="0"/>
        <v>2.2560975609756027E-2</v>
      </c>
      <c r="G11" s="25">
        <v>192.7</v>
      </c>
      <c r="H11" s="52">
        <f t="shared" si="1"/>
        <v>3.1233732431025212E-3</v>
      </c>
      <c r="I11" s="25">
        <v>164.3</v>
      </c>
      <c r="J11" s="52">
        <f t="shared" si="2"/>
        <v>6.1236987140232697E-3</v>
      </c>
      <c r="K11" s="25">
        <v>164.2</v>
      </c>
      <c r="L11" s="52">
        <f t="shared" si="3"/>
        <v>9.8400984009839754E-3</v>
      </c>
      <c r="M11" s="25">
        <v>158.4</v>
      </c>
      <c r="N11" s="52">
        <f t="shared" si="4"/>
        <v>5.7142857142857507E-3</v>
      </c>
      <c r="O11" s="25">
        <v>169.1</v>
      </c>
      <c r="P11" s="52">
        <f t="shared" si="5"/>
        <v>4.1567695961994573E-3</v>
      </c>
      <c r="Q11" s="25">
        <v>155.69999999999999</v>
      </c>
      <c r="R11" s="52">
        <f t="shared" si="6"/>
        <v>1.1038961038960965E-2</v>
      </c>
      <c r="S11" s="25">
        <v>158.6</v>
      </c>
      <c r="T11" s="52">
        <f t="shared" si="7"/>
        <v>5.7070386810399859E-3</v>
      </c>
      <c r="U11" s="25">
        <v>163.9</v>
      </c>
      <c r="V11" s="52">
        <f t="shared" si="8"/>
        <v>1.2217470983507458E-3</v>
      </c>
      <c r="W11" s="25">
        <v>160.80000000000001</v>
      </c>
      <c r="X11" s="52">
        <f t="shared" si="9"/>
        <v>5.0000000000000712E-3</v>
      </c>
      <c r="Y11" s="25">
        <v>161</v>
      </c>
      <c r="Z11" s="52">
        <f t="shared" si="10"/>
        <v>6.2500000000000003E-3</v>
      </c>
      <c r="AA11" s="25">
        <v>165.5</v>
      </c>
      <c r="AB11" s="51">
        <f t="shared" si="11"/>
        <v>1.4093137254902032E-2</v>
      </c>
      <c r="AC11">
        <f>VLOOKUP(D11,'crude oil'!A10:E37,4,0)</f>
        <v>82.11</v>
      </c>
      <c r="AD11" s="51">
        <f>VLOOKUP(D11,'crude oil'!A10:E37,5,0)</f>
        <v>0.12279502256255989</v>
      </c>
      <c r="AG11" s="55" t="s">
        <v>26</v>
      </c>
      <c r="AH11" s="56">
        <f>CORREL(V:V,AD:AD)</f>
        <v>-0.15568220947264713</v>
      </c>
    </row>
    <row r="12" spans="1:34" x14ac:dyDescent="0.3">
      <c r="A12" s="25" t="s">
        <v>34</v>
      </c>
      <c r="B12" s="25">
        <v>2021</v>
      </c>
      <c r="C12" s="25" t="s">
        <v>45</v>
      </c>
      <c r="D12" s="26">
        <v>44501</v>
      </c>
      <c r="E12" s="25">
        <v>169.7</v>
      </c>
      <c r="F12" s="52">
        <f t="shared" si="0"/>
        <v>1.1926058437686345E-2</v>
      </c>
      <c r="G12" s="25">
        <v>192.9</v>
      </c>
      <c r="H12" s="52">
        <f t="shared" si="1"/>
        <v>1.0378827192528131E-3</v>
      </c>
      <c r="I12" s="25">
        <v>165.8</v>
      </c>
      <c r="J12" s="52">
        <f t="shared" si="2"/>
        <v>9.1296409007912346E-3</v>
      </c>
      <c r="K12" s="25">
        <v>163.9</v>
      </c>
      <c r="L12" s="52">
        <f t="shared" si="3"/>
        <v>-1.8270401948841837E-3</v>
      </c>
      <c r="M12" s="25">
        <v>159.30000000000001</v>
      </c>
      <c r="N12" s="52">
        <f t="shared" si="4"/>
        <v>5.6818181818182175E-3</v>
      </c>
      <c r="O12" s="25">
        <v>169.9</v>
      </c>
      <c r="P12" s="52">
        <f t="shared" si="5"/>
        <v>4.730928444707341E-3</v>
      </c>
      <c r="Q12" s="25">
        <v>154.80000000000001</v>
      </c>
      <c r="R12" s="52">
        <f t="shared" si="6"/>
        <v>-5.7803468208091026E-3</v>
      </c>
      <c r="S12" s="25">
        <v>159.80000000000001</v>
      </c>
      <c r="T12" s="52">
        <f t="shared" si="7"/>
        <v>7.5662042875158705E-3</v>
      </c>
      <c r="U12" s="25">
        <v>164.3</v>
      </c>
      <c r="V12" s="52">
        <f t="shared" si="8"/>
        <v>2.4405125076266362E-3</v>
      </c>
      <c r="W12" s="25">
        <v>162.19999999999999</v>
      </c>
      <c r="X12" s="52">
        <f t="shared" si="9"/>
        <v>8.7064676616914003E-3</v>
      </c>
      <c r="Y12" s="25">
        <v>161.4</v>
      </c>
      <c r="Z12" s="52">
        <f t="shared" si="10"/>
        <v>2.4844720496894762E-3</v>
      </c>
      <c r="AA12" s="25">
        <v>166.7</v>
      </c>
      <c r="AB12" s="51">
        <f t="shared" si="11"/>
        <v>7.2507552870089949E-3</v>
      </c>
      <c r="AC12">
        <f>VLOOKUP(D12,'crude oil'!A11:E38,4,0)</f>
        <v>80.64</v>
      </c>
      <c r="AD12" s="51">
        <f>VLOOKUP(D12,'crude oil'!A11:E38,5,0)</f>
        <v>-1.7902813299232722E-2</v>
      </c>
      <c r="AG12" s="55" t="s">
        <v>196</v>
      </c>
      <c r="AH12" s="56">
        <f>CORREL(X:X,AD:AD)</f>
        <v>-3.7153545558753563E-5</v>
      </c>
    </row>
    <row r="13" spans="1:34" x14ac:dyDescent="0.3">
      <c r="A13" s="25" t="s">
        <v>34</v>
      </c>
      <c r="B13" s="25">
        <v>2021</v>
      </c>
      <c r="C13" s="25" t="s">
        <v>46</v>
      </c>
      <c r="D13" s="26">
        <v>44531</v>
      </c>
      <c r="E13" s="25">
        <v>168.2</v>
      </c>
      <c r="F13" s="52">
        <f t="shared" si="0"/>
        <v>-8.8391278727165592E-3</v>
      </c>
      <c r="G13" s="25">
        <v>192.4</v>
      </c>
      <c r="H13" s="52">
        <f t="shared" si="1"/>
        <v>-2.592016588906169E-3</v>
      </c>
      <c r="I13" s="25">
        <v>167</v>
      </c>
      <c r="J13" s="52">
        <f t="shared" si="2"/>
        <v>7.2376357056694119E-3</v>
      </c>
      <c r="K13" s="25">
        <v>164.1</v>
      </c>
      <c r="L13" s="52">
        <f t="shared" si="3"/>
        <v>1.2202562538132314E-3</v>
      </c>
      <c r="M13" s="25">
        <v>160.19999999999999</v>
      </c>
      <c r="N13" s="52">
        <f t="shared" si="4"/>
        <v>5.6497175141241507E-3</v>
      </c>
      <c r="O13" s="25">
        <v>170.6</v>
      </c>
      <c r="P13" s="52">
        <f t="shared" si="5"/>
        <v>4.1200706297821578E-3</v>
      </c>
      <c r="Q13" s="25">
        <v>155.69999999999999</v>
      </c>
      <c r="R13" s="52">
        <f t="shared" si="6"/>
        <v>5.8139534883719455E-3</v>
      </c>
      <c r="S13" s="25">
        <v>160.6</v>
      </c>
      <c r="T13" s="52">
        <f t="shared" si="7"/>
        <v>5.0062578222777399E-3</v>
      </c>
      <c r="U13" s="25">
        <v>164.4</v>
      </c>
      <c r="V13" s="52">
        <f t="shared" si="8"/>
        <v>6.0864272671938102E-4</v>
      </c>
      <c r="W13" s="25">
        <v>162.6</v>
      </c>
      <c r="X13" s="52">
        <f t="shared" si="9"/>
        <v>2.4660912453761141E-3</v>
      </c>
      <c r="Y13" s="25">
        <v>162</v>
      </c>
      <c r="Z13" s="52">
        <f t="shared" si="10"/>
        <v>3.7174721189590725E-3</v>
      </c>
      <c r="AA13" s="25">
        <v>166.2</v>
      </c>
      <c r="AB13" s="51">
        <f t="shared" si="11"/>
        <v>-2.999400119976005E-3</v>
      </c>
      <c r="AC13">
        <f>VLOOKUP(D13,'crude oil'!A12:E39,4,0)</f>
        <v>73.3</v>
      </c>
      <c r="AD13" s="51">
        <f>VLOOKUP(D13,'crude oil'!A12:E39,5,0)</f>
        <v>-9.1021825396825434E-2</v>
      </c>
      <c r="AG13" s="55" t="s">
        <v>28</v>
      </c>
      <c r="AH13" s="56">
        <f>CORREL(Z:Z,AD:AD)</f>
        <v>7.9750052237005362E-2</v>
      </c>
    </row>
    <row r="14" spans="1:34" x14ac:dyDescent="0.3">
      <c r="A14" s="25" t="s">
        <v>34</v>
      </c>
      <c r="B14" s="25">
        <v>2022</v>
      </c>
      <c r="C14" s="25" t="s">
        <v>31</v>
      </c>
      <c r="D14" s="26">
        <v>44562</v>
      </c>
      <c r="E14" s="25">
        <v>166.4</v>
      </c>
      <c r="F14" s="52">
        <f t="shared" si="0"/>
        <v>-1.070154577883462E-2</v>
      </c>
      <c r="G14" s="25">
        <v>192.2</v>
      </c>
      <c r="H14" s="52">
        <f t="shared" si="1"/>
        <v>-1.039501039501128E-3</v>
      </c>
      <c r="I14" s="25">
        <v>168.5</v>
      </c>
      <c r="J14" s="52">
        <f t="shared" si="2"/>
        <v>8.9820359281437123E-3</v>
      </c>
      <c r="K14" s="25">
        <v>164.2</v>
      </c>
      <c r="L14" s="52">
        <f t="shared" si="3"/>
        <v>6.0938452163311586E-4</v>
      </c>
      <c r="M14" s="25">
        <v>161.1</v>
      </c>
      <c r="N14" s="52">
        <f t="shared" si="4"/>
        <v>5.6179775280899239E-3</v>
      </c>
      <c r="O14" s="25">
        <v>171.4</v>
      </c>
      <c r="P14" s="52">
        <f t="shared" si="5"/>
        <v>4.6893317702228097E-3</v>
      </c>
      <c r="Q14" s="25">
        <v>156.5</v>
      </c>
      <c r="R14" s="52">
        <f t="shared" si="6"/>
        <v>5.1380860629416276E-3</v>
      </c>
      <c r="S14" s="25">
        <v>161.19999999999999</v>
      </c>
      <c r="T14" s="52">
        <f t="shared" si="7"/>
        <v>3.735990037359865E-3</v>
      </c>
      <c r="U14" s="25">
        <v>164.7</v>
      </c>
      <c r="V14" s="52">
        <f t="shared" si="8"/>
        <v>1.8248175182480715E-3</v>
      </c>
      <c r="W14" s="25">
        <v>163</v>
      </c>
      <c r="X14" s="52">
        <f t="shared" si="9"/>
        <v>2.4600246002460377E-3</v>
      </c>
      <c r="Y14" s="25">
        <v>162.69999999999999</v>
      </c>
      <c r="Z14" s="52">
        <f t="shared" si="10"/>
        <v>4.3209876543209179E-3</v>
      </c>
      <c r="AA14" s="25">
        <v>165.7</v>
      </c>
      <c r="AB14" s="51">
        <f t="shared" si="11"/>
        <v>-3.0084235860409147E-3</v>
      </c>
      <c r="AC14">
        <f>VLOOKUP(D14,'crude oil'!A13:E40,4,0)</f>
        <v>84.67</v>
      </c>
      <c r="AD14" s="51">
        <f>VLOOKUP(D14,'crude oil'!A13:E40,5,0)</f>
        <v>0.15511596180081863</v>
      </c>
      <c r="AG14" s="55" t="s">
        <v>197</v>
      </c>
      <c r="AH14" s="56">
        <f>CORREL(AB:AB,AD:AD)</f>
        <v>0.13192465113194785</v>
      </c>
    </row>
    <row r="15" spans="1:34" x14ac:dyDescent="0.3">
      <c r="A15" s="25" t="s">
        <v>34</v>
      </c>
      <c r="B15" s="25">
        <v>2022</v>
      </c>
      <c r="C15" s="25" t="s">
        <v>35</v>
      </c>
      <c r="D15" s="26">
        <v>44593</v>
      </c>
      <c r="E15" s="25">
        <v>166.2</v>
      </c>
      <c r="F15" s="52">
        <f t="shared" si="0"/>
        <v>-1.2019230769231793E-3</v>
      </c>
      <c r="G15" s="25">
        <v>192.8</v>
      </c>
      <c r="H15" s="52">
        <f t="shared" si="1"/>
        <v>3.1217481789803476E-3</v>
      </c>
      <c r="I15" s="25">
        <v>169.6</v>
      </c>
      <c r="J15" s="52">
        <f t="shared" si="2"/>
        <v>6.5281899109791951E-3</v>
      </c>
      <c r="K15" s="25">
        <v>165.7</v>
      </c>
      <c r="L15" s="52">
        <f t="shared" si="3"/>
        <v>9.1352009744214372E-3</v>
      </c>
      <c r="M15" s="25">
        <v>161.80000000000001</v>
      </c>
      <c r="N15" s="52">
        <f t="shared" si="4"/>
        <v>4.3451272501552896E-3</v>
      </c>
      <c r="O15" s="25">
        <v>172.2</v>
      </c>
      <c r="P15" s="52">
        <f t="shared" si="5"/>
        <v>4.6674445740955833E-3</v>
      </c>
      <c r="Q15" s="25">
        <v>156.9</v>
      </c>
      <c r="R15" s="52">
        <f t="shared" si="6"/>
        <v>2.5559105431310269E-3</v>
      </c>
      <c r="S15" s="25">
        <v>162.1</v>
      </c>
      <c r="T15" s="52">
        <f t="shared" si="7"/>
        <v>5.5831265508685217E-3</v>
      </c>
      <c r="U15" s="25">
        <v>165.4</v>
      </c>
      <c r="V15" s="52">
        <f t="shared" si="8"/>
        <v>4.2501517911355015E-3</v>
      </c>
      <c r="W15" s="25">
        <v>164.4</v>
      </c>
      <c r="X15" s="52">
        <f t="shared" si="9"/>
        <v>8.5889570552147593E-3</v>
      </c>
      <c r="Y15" s="25">
        <v>163.5</v>
      </c>
      <c r="Z15" s="52">
        <f t="shared" si="10"/>
        <v>4.9170251997542186E-3</v>
      </c>
      <c r="AA15" s="25">
        <v>166.1</v>
      </c>
      <c r="AB15" s="51">
        <f t="shared" si="11"/>
        <v>2.4140012070006378E-3</v>
      </c>
      <c r="AC15">
        <f>VLOOKUP(D15,'crude oil'!A14:E41,4,0)</f>
        <v>94.07</v>
      </c>
      <c r="AD15" s="51">
        <f>VLOOKUP(D15,'crude oil'!A14:E41,5,0)</f>
        <v>0.11101925121058216</v>
      </c>
    </row>
    <row r="16" spans="1:34" x14ac:dyDescent="0.3">
      <c r="A16" s="25" t="s">
        <v>34</v>
      </c>
      <c r="B16" s="25">
        <v>2022</v>
      </c>
      <c r="C16" s="25" t="s">
        <v>36</v>
      </c>
      <c r="D16" s="26">
        <v>44621</v>
      </c>
      <c r="E16" s="25">
        <v>168.4</v>
      </c>
      <c r="F16" s="52">
        <f t="shared" si="0"/>
        <v>1.3237063778580128E-2</v>
      </c>
      <c r="G16" s="25">
        <v>193.7</v>
      </c>
      <c r="H16" s="52">
        <f t="shared" si="1"/>
        <v>4.6680497925310023E-3</v>
      </c>
      <c r="I16" s="25">
        <v>171.1</v>
      </c>
      <c r="J16" s="52">
        <f t="shared" si="2"/>
        <v>8.8443396226415092E-3</v>
      </c>
      <c r="K16" s="25">
        <v>167.2</v>
      </c>
      <c r="L16" s="52">
        <f t="shared" si="3"/>
        <v>9.0525045262522634E-3</v>
      </c>
      <c r="M16" s="25">
        <v>162.80000000000001</v>
      </c>
      <c r="N16" s="52">
        <f t="shared" si="4"/>
        <v>6.180469715698393E-3</v>
      </c>
      <c r="O16" s="25">
        <v>173</v>
      </c>
      <c r="P16" s="52">
        <f t="shared" si="5"/>
        <v>4.6457607433217848E-3</v>
      </c>
      <c r="Q16" s="25">
        <v>157.9</v>
      </c>
      <c r="R16" s="52">
        <f t="shared" si="6"/>
        <v>6.3734862970044612E-3</v>
      </c>
      <c r="S16" s="25">
        <v>163.30000000000001</v>
      </c>
      <c r="T16" s="52">
        <f t="shared" si="7"/>
        <v>7.4028377544726534E-3</v>
      </c>
      <c r="U16" s="25">
        <v>166</v>
      </c>
      <c r="V16" s="52">
        <f t="shared" si="8"/>
        <v>3.6275695284159267E-3</v>
      </c>
      <c r="W16" s="25">
        <v>167.2</v>
      </c>
      <c r="X16" s="52">
        <f t="shared" si="9"/>
        <v>1.7031630170316198E-2</v>
      </c>
      <c r="Y16" s="25">
        <v>164.6</v>
      </c>
      <c r="Z16" s="52">
        <f t="shared" si="10"/>
        <v>6.7278287461773351E-3</v>
      </c>
      <c r="AA16" s="25">
        <v>167.7</v>
      </c>
      <c r="AB16" s="51">
        <f t="shared" si="11"/>
        <v>9.6327513546056245E-3</v>
      </c>
      <c r="AC16">
        <f>VLOOKUP(D16,'crude oil'!A15:E42,4,0)</f>
        <v>112.87</v>
      </c>
      <c r="AD16" s="51">
        <f>VLOOKUP(D16,'crude oil'!A15:E42,5,0)</f>
        <v>0.19985117465717034</v>
      </c>
    </row>
    <row r="17" spans="1:30" x14ac:dyDescent="0.3">
      <c r="A17" s="25" t="s">
        <v>34</v>
      </c>
      <c r="B17" s="25">
        <v>2022</v>
      </c>
      <c r="C17" s="25" t="s">
        <v>37</v>
      </c>
      <c r="D17" s="26">
        <v>44652</v>
      </c>
      <c r="E17" s="25">
        <v>170.8</v>
      </c>
      <c r="F17" s="52">
        <f t="shared" si="0"/>
        <v>1.4251781472684119E-2</v>
      </c>
      <c r="G17" s="25">
        <v>193.9</v>
      </c>
      <c r="H17" s="52">
        <f t="shared" si="1"/>
        <v>1.0325245224574965E-3</v>
      </c>
      <c r="I17" s="25">
        <v>172.8</v>
      </c>
      <c r="J17" s="52">
        <f t="shared" si="2"/>
        <v>9.9357101110462715E-3</v>
      </c>
      <c r="K17" s="25">
        <v>172.2</v>
      </c>
      <c r="L17" s="52">
        <f t="shared" si="3"/>
        <v>2.9904306220095697E-2</v>
      </c>
      <c r="M17" s="25">
        <v>164</v>
      </c>
      <c r="N17" s="52">
        <f t="shared" si="4"/>
        <v>7.371007371007301E-3</v>
      </c>
      <c r="O17" s="25">
        <v>174</v>
      </c>
      <c r="P17" s="52">
        <f t="shared" si="5"/>
        <v>5.7803468208092483E-3</v>
      </c>
      <c r="Q17" s="25">
        <v>162.6</v>
      </c>
      <c r="R17" s="52">
        <f t="shared" si="6"/>
        <v>2.9765674477517344E-2</v>
      </c>
      <c r="S17" s="25">
        <v>164.4</v>
      </c>
      <c r="T17" s="52">
        <f t="shared" si="7"/>
        <v>6.7360685854255618E-3</v>
      </c>
      <c r="U17" s="25">
        <v>166.9</v>
      </c>
      <c r="V17" s="52">
        <f t="shared" si="8"/>
        <v>5.4216867469879864E-3</v>
      </c>
      <c r="W17" s="25">
        <v>168.8</v>
      </c>
      <c r="X17" s="52">
        <f t="shared" si="9"/>
        <v>9.5693779904307587E-3</v>
      </c>
      <c r="Y17" s="25">
        <v>166.8</v>
      </c>
      <c r="Z17" s="52">
        <f t="shared" si="10"/>
        <v>1.3365735115431453E-2</v>
      </c>
      <c r="AA17" s="25">
        <v>170.1</v>
      </c>
      <c r="AB17" s="51">
        <f t="shared" si="11"/>
        <v>1.4311270125223648E-2</v>
      </c>
      <c r="AC17">
        <f>VLOOKUP(D17,'crude oil'!A16:E43,4,0)</f>
        <v>102.97</v>
      </c>
      <c r="AD17" s="51">
        <f>VLOOKUP(D17,'crude oil'!A16:E43,5,0)</f>
        <v>-8.7711526534951761E-2</v>
      </c>
    </row>
    <row r="18" spans="1:30" x14ac:dyDescent="0.3">
      <c r="A18" s="25" t="s">
        <v>34</v>
      </c>
      <c r="B18" s="25">
        <v>2022</v>
      </c>
      <c r="C18" s="25" t="s">
        <v>38</v>
      </c>
      <c r="D18" s="26">
        <v>44682</v>
      </c>
      <c r="E18" s="25">
        <v>173.3</v>
      </c>
      <c r="F18" s="52">
        <f t="shared" si="0"/>
        <v>1.4637002341920374E-2</v>
      </c>
      <c r="G18" s="25">
        <v>194.1</v>
      </c>
      <c r="H18" s="52">
        <f t="shared" si="1"/>
        <v>1.0314595152139691E-3</v>
      </c>
      <c r="I18" s="25">
        <v>174.6</v>
      </c>
      <c r="J18" s="52">
        <f t="shared" si="2"/>
        <v>1.0416666666666567E-2</v>
      </c>
      <c r="K18" s="25">
        <v>174.6</v>
      </c>
      <c r="L18" s="52">
        <f t="shared" si="3"/>
        <v>1.3937282229965191E-2</v>
      </c>
      <c r="M18" s="25">
        <v>165.2</v>
      </c>
      <c r="N18" s="52">
        <f t="shared" si="4"/>
        <v>7.3170731707316384E-3</v>
      </c>
      <c r="O18" s="25">
        <v>174.8</v>
      </c>
      <c r="P18" s="52">
        <f t="shared" si="5"/>
        <v>4.5977011494253523E-3</v>
      </c>
      <c r="Q18" s="25">
        <v>163</v>
      </c>
      <c r="R18" s="52">
        <f t="shared" si="6"/>
        <v>2.4600246002460377E-3</v>
      </c>
      <c r="S18" s="25">
        <v>165.1</v>
      </c>
      <c r="T18" s="52">
        <f t="shared" si="7"/>
        <v>4.257907542579006E-3</v>
      </c>
      <c r="U18" s="25">
        <v>167.9</v>
      </c>
      <c r="V18" s="52">
        <f t="shared" si="8"/>
        <v>5.9916117435590173E-3</v>
      </c>
      <c r="W18" s="25">
        <v>168.4</v>
      </c>
      <c r="X18" s="52">
        <f t="shared" si="9"/>
        <v>-2.3696682464455312E-3</v>
      </c>
      <c r="Y18" s="25">
        <v>167.5</v>
      </c>
      <c r="Z18" s="52">
        <f t="shared" si="10"/>
        <v>4.1966426858512504E-3</v>
      </c>
      <c r="AA18" s="25">
        <v>171.7</v>
      </c>
      <c r="AB18" s="51">
        <f t="shared" si="11"/>
        <v>9.4062316284538178E-3</v>
      </c>
      <c r="AC18">
        <f>VLOOKUP(D18,'crude oil'!A17:E44,4,0)</f>
        <v>109.51</v>
      </c>
      <c r="AD18" s="51">
        <f>VLOOKUP(D18,'crude oil'!A17:E44,5,0)</f>
        <v>6.3513644750898379E-2</v>
      </c>
    </row>
    <row r="19" spans="1:30" x14ac:dyDescent="0.3">
      <c r="A19" s="25" t="s">
        <v>34</v>
      </c>
      <c r="B19" s="25">
        <v>2022</v>
      </c>
      <c r="C19" s="25" t="s">
        <v>39</v>
      </c>
      <c r="D19" s="26">
        <v>44713</v>
      </c>
      <c r="E19" s="25">
        <v>174.9</v>
      </c>
      <c r="F19" s="52">
        <f t="shared" si="0"/>
        <v>9.2325447201384546E-3</v>
      </c>
      <c r="G19" s="25">
        <v>194.3</v>
      </c>
      <c r="H19" s="52">
        <f t="shared" si="1"/>
        <v>1.0303967027306391E-3</v>
      </c>
      <c r="I19" s="25">
        <v>176</v>
      </c>
      <c r="J19" s="52">
        <f t="shared" si="2"/>
        <v>8.0183276059565042E-3</v>
      </c>
      <c r="K19" s="25">
        <v>176</v>
      </c>
      <c r="L19" s="52">
        <f t="shared" si="3"/>
        <v>8.0183276059565042E-3</v>
      </c>
      <c r="M19" s="25">
        <v>166.4</v>
      </c>
      <c r="N19" s="52">
        <f t="shared" si="4"/>
        <v>7.2639225181599099E-3</v>
      </c>
      <c r="O19" s="25">
        <v>175.4</v>
      </c>
      <c r="P19" s="52">
        <f t="shared" si="5"/>
        <v>3.4324942791761686E-3</v>
      </c>
      <c r="Q19" s="25">
        <v>161.1</v>
      </c>
      <c r="R19" s="52">
        <f t="shared" si="6"/>
        <v>-1.1656441717791446E-2</v>
      </c>
      <c r="S19" s="25">
        <v>165.8</v>
      </c>
      <c r="T19" s="52">
        <f t="shared" si="7"/>
        <v>4.2398546335555244E-3</v>
      </c>
      <c r="U19" s="25">
        <v>169</v>
      </c>
      <c r="V19" s="52">
        <f t="shared" si="8"/>
        <v>6.5515187611673272E-3</v>
      </c>
      <c r="W19" s="25">
        <v>169.4</v>
      </c>
      <c r="X19" s="52">
        <f t="shared" si="9"/>
        <v>5.9382422802850355E-3</v>
      </c>
      <c r="Y19" s="25">
        <v>167.5</v>
      </c>
      <c r="Z19" s="52">
        <f t="shared" si="10"/>
        <v>0</v>
      </c>
      <c r="AA19" s="25">
        <v>172.6</v>
      </c>
      <c r="AB19" s="51">
        <f t="shared" si="11"/>
        <v>5.2417006406523343E-3</v>
      </c>
      <c r="AC19">
        <f>VLOOKUP(D19,'crude oil'!A18:E45,4,0)</f>
        <v>116.01</v>
      </c>
      <c r="AD19" s="51">
        <f>VLOOKUP(D19,'crude oil'!A18:E45,5,0)</f>
        <v>5.9355310017350012E-2</v>
      </c>
    </row>
    <row r="20" spans="1:30" x14ac:dyDescent="0.3">
      <c r="A20" s="25" t="s">
        <v>34</v>
      </c>
      <c r="B20" s="25">
        <v>2022</v>
      </c>
      <c r="C20" s="25" t="s">
        <v>40</v>
      </c>
      <c r="D20" s="26">
        <v>44743</v>
      </c>
      <c r="E20" s="25">
        <v>175</v>
      </c>
      <c r="F20" s="52">
        <f t="shared" si="0"/>
        <v>5.7175528873638828E-4</v>
      </c>
      <c r="G20" s="25">
        <v>194.6</v>
      </c>
      <c r="H20" s="52">
        <f t="shared" si="1"/>
        <v>1.5440041173442251E-3</v>
      </c>
      <c r="I20" s="25">
        <v>177.3</v>
      </c>
      <c r="J20" s="52">
        <f t="shared" si="2"/>
        <v>7.3863636363637013E-3</v>
      </c>
      <c r="K20" s="25">
        <v>179.6</v>
      </c>
      <c r="L20" s="52">
        <f t="shared" si="3"/>
        <v>2.0454545454545423E-2</v>
      </c>
      <c r="M20" s="25">
        <v>167.4</v>
      </c>
      <c r="N20" s="52">
        <f t="shared" si="4"/>
        <v>6.0096153846153841E-3</v>
      </c>
      <c r="O20" s="25">
        <v>176.1</v>
      </c>
      <c r="P20" s="52">
        <f t="shared" si="5"/>
        <v>3.9908779931584299E-3</v>
      </c>
      <c r="Q20" s="25">
        <v>161.6</v>
      </c>
      <c r="R20" s="52">
        <f t="shared" si="6"/>
        <v>3.1036623215394167E-3</v>
      </c>
      <c r="S20" s="25">
        <v>166.3</v>
      </c>
      <c r="T20" s="52">
        <f t="shared" si="7"/>
        <v>3.0156815440289505E-3</v>
      </c>
      <c r="U20" s="25">
        <v>171.4</v>
      </c>
      <c r="V20" s="52">
        <f t="shared" si="8"/>
        <v>1.4201183431952697E-2</v>
      </c>
      <c r="W20" s="25">
        <v>169.7</v>
      </c>
      <c r="X20" s="52">
        <f t="shared" si="9"/>
        <v>1.7709563164107611E-3</v>
      </c>
      <c r="Y20" s="25">
        <v>168.4</v>
      </c>
      <c r="Z20" s="52">
        <f t="shared" si="10"/>
        <v>5.3731343283582433E-3</v>
      </c>
      <c r="AA20" s="25">
        <v>173.4</v>
      </c>
      <c r="AB20" s="51">
        <f t="shared" si="11"/>
        <v>4.634994206257308E-3</v>
      </c>
      <c r="AC20">
        <f>VLOOKUP(D20,'crude oil'!A19:E46,4,0)</f>
        <v>105.49</v>
      </c>
      <c r="AD20" s="51">
        <f>VLOOKUP(D20,'crude oil'!A19:E46,5,0)</f>
        <v>-9.0681837772605897E-2</v>
      </c>
    </row>
    <row r="21" spans="1:30" x14ac:dyDescent="0.3">
      <c r="A21" s="25" t="s">
        <v>34</v>
      </c>
      <c r="B21" s="25">
        <v>2022</v>
      </c>
      <c r="C21" s="25" t="s">
        <v>41</v>
      </c>
      <c r="D21" s="26">
        <v>44774</v>
      </c>
      <c r="E21" s="25">
        <v>176.3</v>
      </c>
      <c r="F21" s="52">
        <f t="shared" si="0"/>
        <v>7.4285714285714935E-3</v>
      </c>
      <c r="G21" s="25">
        <v>195</v>
      </c>
      <c r="H21" s="52">
        <f t="shared" si="1"/>
        <v>2.0554984583761853E-3</v>
      </c>
      <c r="I21" s="25">
        <v>178.5</v>
      </c>
      <c r="J21" s="52">
        <f t="shared" si="2"/>
        <v>6.7681895093061962E-3</v>
      </c>
      <c r="K21" s="25">
        <v>178.8</v>
      </c>
      <c r="L21" s="52">
        <f t="shared" si="3"/>
        <v>-4.4543429844097048E-3</v>
      </c>
      <c r="M21" s="25">
        <v>168.5</v>
      </c>
      <c r="N21" s="52">
        <f t="shared" si="4"/>
        <v>6.571087216248472E-3</v>
      </c>
      <c r="O21" s="25">
        <v>176.8</v>
      </c>
      <c r="P21" s="52">
        <f t="shared" si="5"/>
        <v>3.9750141964793699E-3</v>
      </c>
      <c r="Q21" s="25">
        <v>161.9</v>
      </c>
      <c r="R21" s="52">
        <f t="shared" si="6"/>
        <v>1.8564356435644268E-3</v>
      </c>
      <c r="S21" s="25">
        <v>166.9</v>
      </c>
      <c r="T21" s="52">
        <f t="shared" si="7"/>
        <v>3.6079374624172836E-3</v>
      </c>
      <c r="U21" s="25">
        <v>172.3</v>
      </c>
      <c r="V21" s="52">
        <f t="shared" si="8"/>
        <v>5.2508751458576761E-3</v>
      </c>
      <c r="W21" s="25">
        <v>171.2</v>
      </c>
      <c r="X21" s="52">
        <f t="shared" si="9"/>
        <v>8.8391278727165592E-3</v>
      </c>
      <c r="Y21" s="25">
        <v>169.1</v>
      </c>
      <c r="Z21" s="52">
        <f t="shared" si="10"/>
        <v>4.1567695961994573E-3</v>
      </c>
      <c r="AA21" s="25">
        <v>174.3</v>
      </c>
      <c r="AB21" s="51">
        <f t="shared" si="11"/>
        <v>5.1903114186851538E-3</v>
      </c>
      <c r="AC21">
        <f>VLOOKUP(D21,'crude oil'!A20:E47,4,0)</f>
        <v>97.4</v>
      </c>
      <c r="AD21" s="51">
        <f>VLOOKUP(D21,'crude oil'!A20:E47,5,0)</f>
        <v>-7.6689733624040093E-2</v>
      </c>
    </row>
    <row r="22" spans="1:30" x14ac:dyDescent="0.3">
      <c r="A22" s="25" t="s">
        <v>34</v>
      </c>
      <c r="B22" s="25">
        <v>2022</v>
      </c>
      <c r="C22" s="25" t="s">
        <v>42</v>
      </c>
      <c r="D22" s="26">
        <v>44805</v>
      </c>
      <c r="E22" s="25">
        <v>177.8</v>
      </c>
      <c r="F22" s="52">
        <f t="shared" si="0"/>
        <v>8.5082246171298923E-3</v>
      </c>
      <c r="G22" s="25">
        <v>195.9</v>
      </c>
      <c r="H22" s="52">
        <f t="shared" si="1"/>
        <v>4.6153846153846444E-3</v>
      </c>
      <c r="I22" s="25">
        <v>179.9</v>
      </c>
      <c r="J22" s="52">
        <f t="shared" si="2"/>
        <v>7.8431372549019919E-3</v>
      </c>
      <c r="K22" s="25">
        <v>179.5</v>
      </c>
      <c r="L22" s="52">
        <f t="shared" si="3"/>
        <v>3.9149888143176093E-3</v>
      </c>
      <c r="M22" s="25">
        <v>169.5</v>
      </c>
      <c r="N22" s="52">
        <f t="shared" si="4"/>
        <v>5.9347181008902079E-3</v>
      </c>
      <c r="O22" s="25">
        <v>177.8</v>
      </c>
      <c r="P22" s="52">
        <f t="shared" si="5"/>
        <v>5.6561085972850677E-3</v>
      </c>
      <c r="Q22" s="25">
        <v>162.30000000000001</v>
      </c>
      <c r="R22" s="52">
        <f t="shared" si="6"/>
        <v>2.470660901791264E-3</v>
      </c>
      <c r="S22" s="25">
        <v>167.6</v>
      </c>
      <c r="T22" s="52">
        <f t="shared" si="7"/>
        <v>4.1941282204912443E-3</v>
      </c>
      <c r="U22" s="25">
        <v>173.1</v>
      </c>
      <c r="V22" s="52">
        <f t="shared" si="8"/>
        <v>4.6430644225187636E-3</v>
      </c>
      <c r="W22" s="25">
        <v>170.9</v>
      </c>
      <c r="X22" s="52">
        <f t="shared" si="9"/>
        <v>-1.7523364485980313E-3</v>
      </c>
      <c r="Y22" s="25">
        <v>169.7</v>
      </c>
      <c r="Z22" s="52">
        <f t="shared" si="10"/>
        <v>3.548196333530422E-3</v>
      </c>
      <c r="AA22" s="25">
        <v>175.3</v>
      </c>
      <c r="AB22" s="51">
        <f t="shared" si="11"/>
        <v>5.737234652897303E-3</v>
      </c>
      <c r="AC22">
        <f>VLOOKUP(D22,'crude oil'!A21:E48,4,0)</f>
        <v>90.71</v>
      </c>
      <c r="AD22" s="51">
        <f>VLOOKUP(D22,'crude oil'!A21:E48,5,0)</f>
        <v>-6.8685831622176716E-2</v>
      </c>
    </row>
    <row r="23" spans="1:30" x14ac:dyDescent="0.3">
      <c r="A23" s="25" t="s">
        <v>34</v>
      </c>
      <c r="B23" s="25">
        <v>2022</v>
      </c>
      <c r="C23" s="25" t="s">
        <v>43</v>
      </c>
      <c r="D23" s="26">
        <v>44835</v>
      </c>
      <c r="E23" s="25">
        <v>179.6</v>
      </c>
      <c r="F23" s="52">
        <f t="shared" si="0"/>
        <v>1.0123734533183255E-2</v>
      </c>
      <c r="G23" s="25">
        <v>196.3</v>
      </c>
      <c r="H23" s="52">
        <f t="shared" si="1"/>
        <v>2.0418580908627142E-3</v>
      </c>
      <c r="I23" s="25">
        <v>181</v>
      </c>
      <c r="J23" s="52">
        <f t="shared" si="2"/>
        <v>6.1145080600333197E-3</v>
      </c>
      <c r="K23" s="25">
        <v>180.5</v>
      </c>
      <c r="L23" s="52">
        <f t="shared" si="3"/>
        <v>5.5710306406685237E-3</v>
      </c>
      <c r="M23" s="25">
        <v>170.4</v>
      </c>
      <c r="N23" s="52">
        <f t="shared" si="4"/>
        <v>5.30973451327437E-3</v>
      </c>
      <c r="O23" s="25">
        <v>178.7</v>
      </c>
      <c r="P23" s="52">
        <f t="shared" si="5"/>
        <v>5.0618672665915477E-3</v>
      </c>
      <c r="Q23" s="25">
        <v>162.9</v>
      </c>
      <c r="R23" s="52">
        <f t="shared" si="6"/>
        <v>3.6968576709796321E-3</v>
      </c>
      <c r="S23" s="25">
        <v>168.2</v>
      </c>
      <c r="T23" s="52">
        <f t="shared" si="7"/>
        <v>3.579952267303069E-3</v>
      </c>
      <c r="U23" s="25">
        <v>173.4</v>
      </c>
      <c r="V23" s="52">
        <f t="shared" si="8"/>
        <v>1.7331022530329948E-3</v>
      </c>
      <c r="W23" s="25">
        <v>172.1</v>
      </c>
      <c r="X23" s="52">
        <f t="shared" si="9"/>
        <v>7.021650087770559E-3</v>
      </c>
      <c r="Y23" s="25">
        <v>170.5</v>
      </c>
      <c r="Z23" s="52">
        <f t="shared" si="10"/>
        <v>4.7142015321155655E-3</v>
      </c>
      <c r="AA23" s="25">
        <v>176.7</v>
      </c>
      <c r="AB23" s="51">
        <f t="shared" si="11"/>
        <v>7.9863091842554308E-3</v>
      </c>
      <c r="AC23">
        <f>VLOOKUP(D23,'crude oil'!A22:E49,4,0)</f>
        <v>91.7</v>
      </c>
      <c r="AD23" s="51">
        <f>VLOOKUP(D23,'crude oil'!A22:E49,5,0)</f>
        <v>1.0913901444162818E-2</v>
      </c>
    </row>
    <row r="24" spans="1:30" x14ac:dyDescent="0.3">
      <c r="A24" s="25" t="s">
        <v>34</v>
      </c>
      <c r="B24" s="25">
        <v>2022</v>
      </c>
      <c r="C24" s="25" t="s">
        <v>45</v>
      </c>
      <c r="D24" s="26">
        <v>44866</v>
      </c>
      <c r="E24" s="25">
        <v>178.3</v>
      </c>
      <c r="F24" s="52">
        <f t="shared" si="0"/>
        <v>-7.2383073496658295E-3</v>
      </c>
      <c r="G24" s="25">
        <v>196.9</v>
      </c>
      <c r="H24" s="52">
        <f t="shared" si="1"/>
        <v>3.0565461029036897E-3</v>
      </c>
      <c r="I24" s="25">
        <v>182.1</v>
      </c>
      <c r="J24" s="52">
        <f t="shared" si="2"/>
        <v>6.0773480662983112E-3</v>
      </c>
      <c r="K24" s="25">
        <v>181.3</v>
      </c>
      <c r="L24" s="52">
        <f t="shared" si="3"/>
        <v>4.4321329639889825E-3</v>
      </c>
      <c r="M24" s="25">
        <v>171.4</v>
      </c>
      <c r="N24" s="52">
        <f t="shared" si="4"/>
        <v>5.8685446009389668E-3</v>
      </c>
      <c r="O24" s="25">
        <v>179.8</v>
      </c>
      <c r="P24" s="52">
        <f t="shared" si="5"/>
        <v>6.1555679910465745E-3</v>
      </c>
      <c r="Q24" s="25">
        <v>163</v>
      </c>
      <c r="R24" s="52">
        <f t="shared" si="6"/>
        <v>6.1387354205030267E-4</v>
      </c>
      <c r="S24" s="25">
        <v>168.5</v>
      </c>
      <c r="T24" s="52">
        <f t="shared" si="7"/>
        <v>1.7835909631391878E-3</v>
      </c>
      <c r="U24" s="25">
        <v>173.7</v>
      </c>
      <c r="V24" s="52">
        <f t="shared" si="8"/>
        <v>1.7301038062282753E-3</v>
      </c>
      <c r="W24" s="25">
        <v>173.6</v>
      </c>
      <c r="X24" s="52">
        <f t="shared" si="9"/>
        <v>8.7158628704241715E-3</v>
      </c>
      <c r="Y24" s="25">
        <v>171.1</v>
      </c>
      <c r="Z24" s="52">
        <f t="shared" si="10"/>
        <v>3.5190615835776792E-3</v>
      </c>
      <c r="AA24" s="25">
        <v>176.5</v>
      </c>
      <c r="AB24" s="51">
        <f t="shared" si="11"/>
        <v>-1.1318619128465684E-3</v>
      </c>
      <c r="AC24">
        <f>VLOOKUP(D24,'crude oil'!A23:E50,4,0)</f>
        <v>87.55</v>
      </c>
      <c r="AD24" s="51">
        <f>VLOOKUP(D24,'crude oil'!A23:E50,5,0)</f>
        <v>-4.5256270447110204E-2</v>
      </c>
    </row>
    <row r="25" spans="1:30" x14ac:dyDescent="0.3">
      <c r="A25" s="25" t="s">
        <v>34</v>
      </c>
      <c r="B25" s="25">
        <v>2022</v>
      </c>
      <c r="C25" s="25" t="s">
        <v>46</v>
      </c>
      <c r="D25" s="26">
        <v>44896</v>
      </c>
      <c r="E25" s="25">
        <v>175.9</v>
      </c>
      <c r="F25" s="52">
        <f t="shared" si="0"/>
        <v>-1.3460459899046581E-2</v>
      </c>
      <c r="G25" s="25">
        <v>197.3</v>
      </c>
      <c r="H25" s="52">
        <f t="shared" si="1"/>
        <v>2.031488065007647E-3</v>
      </c>
      <c r="I25" s="25">
        <v>183</v>
      </c>
      <c r="J25" s="52">
        <f t="shared" si="2"/>
        <v>4.9423393739703777E-3</v>
      </c>
      <c r="K25" s="25">
        <v>182</v>
      </c>
      <c r="L25" s="52">
        <f t="shared" si="3"/>
        <v>3.8610038610037982E-3</v>
      </c>
      <c r="M25" s="25">
        <v>172.1</v>
      </c>
      <c r="N25" s="52">
        <f t="shared" si="4"/>
        <v>4.0840140023336562E-3</v>
      </c>
      <c r="O25" s="25">
        <v>181.1</v>
      </c>
      <c r="P25" s="52">
        <f t="shared" si="5"/>
        <v>7.2302558398219295E-3</v>
      </c>
      <c r="Q25" s="25">
        <v>163.4</v>
      </c>
      <c r="R25" s="52">
        <f t="shared" si="6"/>
        <v>2.4539877300613845E-3</v>
      </c>
      <c r="S25" s="25">
        <v>168.9</v>
      </c>
      <c r="T25" s="52">
        <f t="shared" si="7"/>
        <v>2.3738872403561168E-3</v>
      </c>
      <c r="U25" s="25">
        <v>174.1</v>
      </c>
      <c r="V25" s="52">
        <f t="shared" si="8"/>
        <v>2.3028209556707293E-3</v>
      </c>
      <c r="W25" s="25">
        <v>175.8</v>
      </c>
      <c r="X25" s="52">
        <f t="shared" si="9"/>
        <v>1.2672811059907932E-2</v>
      </c>
      <c r="Y25" s="25">
        <v>172</v>
      </c>
      <c r="Z25" s="52">
        <f t="shared" si="10"/>
        <v>5.2600818234950653E-3</v>
      </c>
      <c r="AA25" s="25">
        <v>175.7</v>
      </c>
      <c r="AB25" s="51">
        <f t="shared" si="11"/>
        <v>-4.5325779036827843E-3</v>
      </c>
      <c r="AC25">
        <f>VLOOKUP(D25,'crude oil'!A24:E51,4,0)</f>
        <v>78.099999999999994</v>
      </c>
      <c r="AD25" s="51">
        <f>VLOOKUP(D25,'crude oil'!A24:E51,5,0)</f>
        <v>-0.10793832095945177</v>
      </c>
    </row>
    <row r="26" spans="1:30" x14ac:dyDescent="0.3">
      <c r="A26" s="25" t="s">
        <v>34</v>
      </c>
      <c r="B26" s="25">
        <v>2023</v>
      </c>
      <c r="C26" s="25" t="s">
        <v>31</v>
      </c>
      <c r="D26" s="26">
        <v>44927</v>
      </c>
      <c r="E26" s="25">
        <v>176.7</v>
      </c>
      <c r="F26" s="52">
        <f t="shared" si="0"/>
        <v>4.5480386583284984E-3</v>
      </c>
      <c r="G26" s="25">
        <v>198.2</v>
      </c>
      <c r="H26" s="52">
        <f t="shared" si="1"/>
        <v>4.5615813482005937E-3</v>
      </c>
      <c r="I26" s="25">
        <v>183.8</v>
      </c>
      <c r="J26" s="52">
        <f t="shared" si="2"/>
        <v>4.3715846994536144E-3</v>
      </c>
      <c r="K26" s="25">
        <v>182</v>
      </c>
      <c r="L26" s="52">
        <f t="shared" si="3"/>
        <v>0</v>
      </c>
      <c r="M26" s="25">
        <v>172.9</v>
      </c>
      <c r="N26" s="52">
        <f t="shared" si="4"/>
        <v>4.648460197559625E-3</v>
      </c>
      <c r="O26" s="25">
        <v>182.3</v>
      </c>
      <c r="P26" s="52">
        <f t="shared" si="5"/>
        <v>6.6261733848703317E-3</v>
      </c>
      <c r="Q26" s="25">
        <v>163.6</v>
      </c>
      <c r="R26" s="52">
        <f t="shared" si="6"/>
        <v>1.2239902080782657E-3</v>
      </c>
      <c r="S26" s="25">
        <v>169.5</v>
      </c>
      <c r="T26" s="52">
        <f t="shared" si="7"/>
        <v>3.5523978685612452E-3</v>
      </c>
      <c r="U26" s="25">
        <v>174.3</v>
      </c>
      <c r="V26" s="52">
        <f t="shared" si="8"/>
        <v>1.1487650775417408E-3</v>
      </c>
      <c r="W26" s="25">
        <v>178.6</v>
      </c>
      <c r="X26" s="52">
        <f t="shared" si="9"/>
        <v>1.5927189988623337E-2</v>
      </c>
      <c r="Y26" s="25">
        <v>172.8</v>
      </c>
      <c r="Z26" s="52">
        <f t="shared" si="10"/>
        <v>4.6511627906977403E-3</v>
      </c>
      <c r="AA26" s="25">
        <v>176.5</v>
      </c>
      <c r="AB26" s="51">
        <f t="shared" si="11"/>
        <v>4.5532157085942599E-3</v>
      </c>
      <c r="AC26">
        <f>VLOOKUP(D26,'crude oil'!A25:E52,4,0)</f>
        <v>80.92</v>
      </c>
      <c r="AD26" s="51">
        <f>VLOOKUP(D26,'crude oil'!A25:E52,5,0)</f>
        <v>3.6107554417413666E-2</v>
      </c>
    </row>
    <row r="27" spans="1:30" x14ac:dyDescent="0.3">
      <c r="A27" s="25" t="s">
        <v>34</v>
      </c>
      <c r="B27" s="25">
        <v>2023</v>
      </c>
      <c r="C27" s="25" t="s">
        <v>35</v>
      </c>
      <c r="D27" s="26">
        <v>44958</v>
      </c>
      <c r="E27" s="25">
        <v>177</v>
      </c>
      <c r="F27" s="52">
        <f t="shared" si="0"/>
        <v>1.6977928692700134E-3</v>
      </c>
      <c r="G27" s="25">
        <v>199.5</v>
      </c>
      <c r="H27" s="52">
        <f t="shared" si="1"/>
        <v>6.5590312815338621E-3</v>
      </c>
      <c r="I27" s="25">
        <v>185.1</v>
      </c>
      <c r="J27" s="52">
        <f t="shared" si="2"/>
        <v>7.0729053318823879E-3</v>
      </c>
      <c r="K27" s="25">
        <v>182.1</v>
      </c>
      <c r="L27" s="52">
        <f t="shared" si="3"/>
        <v>5.4945054945051823E-4</v>
      </c>
      <c r="M27" s="25">
        <v>174.2</v>
      </c>
      <c r="N27" s="52">
        <f t="shared" si="4"/>
        <v>7.5187969924811037E-3</v>
      </c>
      <c r="O27" s="25">
        <v>184.4</v>
      </c>
      <c r="P27" s="52">
        <f t="shared" si="5"/>
        <v>1.1519473395501889E-2</v>
      </c>
      <c r="Q27" s="25">
        <v>164.2</v>
      </c>
      <c r="R27" s="52">
        <f t="shared" si="6"/>
        <v>3.6674816625916523E-3</v>
      </c>
      <c r="S27" s="25">
        <v>170.3</v>
      </c>
      <c r="T27" s="52">
        <f t="shared" si="7"/>
        <v>4.7197640117994768E-3</v>
      </c>
      <c r="U27" s="25">
        <v>175</v>
      </c>
      <c r="V27" s="52">
        <f t="shared" si="8"/>
        <v>4.016064257028047E-3</v>
      </c>
      <c r="W27" s="25">
        <v>181</v>
      </c>
      <c r="X27" s="52">
        <f t="shared" si="9"/>
        <v>1.3437849944008991E-2</v>
      </c>
      <c r="Y27" s="25">
        <v>174.1</v>
      </c>
      <c r="Z27" s="52">
        <f t="shared" si="10"/>
        <v>7.5231481481480489E-3</v>
      </c>
      <c r="AA27" s="25">
        <v>177.2</v>
      </c>
      <c r="AB27" s="51">
        <f t="shared" si="11"/>
        <v>3.9660056657223148E-3</v>
      </c>
      <c r="AC27">
        <f>VLOOKUP(D27,'crude oil'!A26:E53,4,0)</f>
        <v>82.28</v>
      </c>
      <c r="AD27" s="51">
        <f>VLOOKUP(D27,'crude oil'!A26:E53,5,0)</f>
        <v>1.6806722689075623E-2</v>
      </c>
    </row>
    <row r="28" spans="1:30" x14ac:dyDescent="0.3">
      <c r="A28" s="25" t="s">
        <v>34</v>
      </c>
      <c r="B28" s="25">
        <v>2023</v>
      </c>
      <c r="C28" s="25" t="s">
        <v>36</v>
      </c>
      <c r="D28" s="26">
        <v>44986</v>
      </c>
      <c r="E28" s="25">
        <v>177</v>
      </c>
      <c r="F28" s="52">
        <f t="shared" si="0"/>
        <v>0</v>
      </c>
      <c r="G28" s="25">
        <v>199.5</v>
      </c>
      <c r="H28" s="52">
        <f t="shared" si="1"/>
        <v>0</v>
      </c>
      <c r="I28" s="25">
        <v>185.1</v>
      </c>
      <c r="J28" s="52">
        <f t="shared" si="2"/>
        <v>0</v>
      </c>
      <c r="K28" s="25">
        <v>181.9</v>
      </c>
      <c r="L28" s="52">
        <f t="shared" si="3"/>
        <v>-1.0982976386600144E-3</v>
      </c>
      <c r="M28" s="25">
        <v>174.2</v>
      </c>
      <c r="N28" s="52">
        <f t="shared" si="4"/>
        <v>0</v>
      </c>
      <c r="O28" s="25">
        <v>184.4</v>
      </c>
      <c r="P28" s="52">
        <f t="shared" si="5"/>
        <v>0</v>
      </c>
      <c r="Q28" s="25">
        <v>164.2</v>
      </c>
      <c r="R28" s="52">
        <f t="shared" si="6"/>
        <v>0</v>
      </c>
      <c r="S28" s="25">
        <v>170.3</v>
      </c>
      <c r="T28" s="52">
        <f t="shared" si="7"/>
        <v>0</v>
      </c>
      <c r="U28" s="25">
        <v>175</v>
      </c>
      <c r="V28" s="52">
        <f t="shared" si="8"/>
        <v>0</v>
      </c>
      <c r="W28" s="25">
        <v>181</v>
      </c>
      <c r="X28" s="52">
        <f t="shared" si="9"/>
        <v>0</v>
      </c>
      <c r="Y28" s="25">
        <v>174.1</v>
      </c>
      <c r="Z28" s="52">
        <f t="shared" si="10"/>
        <v>0</v>
      </c>
      <c r="AA28" s="25">
        <v>177.2</v>
      </c>
      <c r="AB28" s="51">
        <f t="shared" si="11"/>
        <v>0</v>
      </c>
      <c r="AC28">
        <f>VLOOKUP(D28,'crude oil'!A27:E54,4,0)</f>
        <v>78.540000000000006</v>
      </c>
      <c r="AD28" s="51">
        <f>VLOOKUP(D28,'crude oil'!A27:E54,5,0)</f>
        <v>-4.5454545454545393E-2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9B4F-04F0-4140-8344-475130DF4538}">
  <dimension ref="A1:E28"/>
  <sheetViews>
    <sheetView topLeftCell="A2" workbookViewId="0">
      <selection activeCell="I13" sqref="I13"/>
    </sheetView>
  </sheetViews>
  <sheetFormatPr defaultRowHeight="14.4" x14ac:dyDescent="0.3"/>
  <cols>
    <col min="1" max="1" width="9.5546875" bestFit="1" customWidth="1"/>
    <col min="2" max="2" width="5" bestFit="1" customWidth="1"/>
    <col min="3" max="3" width="9.77734375" bestFit="1" customWidth="1"/>
    <col min="4" max="4" width="7" bestFit="1" customWidth="1"/>
  </cols>
  <sheetData>
    <row r="1" spans="1:5" x14ac:dyDescent="0.3">
      <c r="B1" s="1" t="s">
        <v>1</v>
      </c>
      <c r="C1" s="1" t="s">
        <v>172</v>
      </c>
      <c r="D1" s="1" t="s">
        <v>173</v>
      </c>
      <c r="E1" s="1" t="s">
        <v>174</v>
      </c>
    </row>
    <row r="2" spans="1:5" x14ac:dyDescent="0.3">
      <c r="A2" s="53">
        <f>DATE(B2,MATCH(TRIM(C2),{"January","February","March","April","May","June","July","August","September","October","November","December"},0),1)</f>
        <v>44197</v>
      </c>
      <c r="B2">
        <v>2021</v>
      </c>
      <c r="C2" t="s">
        <v>31</v>
      </c>
      <c r="D2">
        <v>54.79</v>
      </c>
    </row>
    <row r="3" spans="1:5" x14ac:dyDescent="0.3">
      <c r="A3" s="53">
        <f>DATE(B3,MATCH(TRIM(C3),{"January","February","March","April","May","June","July","August","September","October","November","December"},0),1)</f>
        <v>44228</v>
      </c>
      <c r="B3">
        <v>2021</v>
      </c>
      <c r="C3" t="s">
        <v>35</v>
      </c>
      <c r="D3">
        <v>61.22</v>
      </c>
      <c r="E3" s="51">
        <f>(D3-D2)/D2</f>
        <v>0.11735718196751231</v>
      </c>
    </row>
    <row r="4" spans="1:5" x14ac:dyDescent="0.3">
      <c r="A4" s="53">
        <f>DATE(B4,MATCH(TRIM(C4),{"January","February","March","April","May","June","July","August","September","October","November","December"},0),1)</f>
        <v>44256</v>
      </c>
      <c r="B4">
        <v>2021</v>
      </c>
      <c r="C4" t="s">
        <v>36</v>
      </c>
      <c r="D4">
        <v>64.73</v>
      </c>
      <c r="E4" s="51">
        <f t="shared" ref="E4:E28" si="0">(D4-D3)/D3</f>
        <v>5.7334204508330697E-2</v>
      </c>
    </row>
    <row r="5" spans="1:5" x14ac:dyDescent="0.3">
      <c r="A5" s="53">
        <f>DATE(B5,MATCH(TRIM(C5),{"January","February","March","April","May","June","July","August","September","October","November","December"},0),1)</f>
        <v>44287</v>
      </c>
      <c r="B5">
        <v>2021</v>
      </c>
      <c r="C5" t="s">
        <v>37</v>
      </c>
      <c r="D5">
        <v>63.4</v>
      </c>
      <c r="E5" s="51">
        <f t="shared" si="0"/>
        <v>-2.0546887069365138E-2</v>
      </c>
    </row>
    <row r="6" spans="1:5" x14ac:dyDescent="0.3">
      <c r="A6" s="53">
        <f>DATE(B6,MATCH(TRIM(C6),{"January","February","March","April","May","June","July","August","September","October","November","December"},0),1)</f>
        <v>44317</v>
      </c>
      <c r="B6">
        <v>2021</v>
      </c>
      <c r="C6" t="s">
        <v>38</v>
      </c>
      <c r="D6">
        <v>66.95</v>
      </c>
      <c r="E6" s="51">
        <f t="shared" si="0"/>
        <v>5.5993690851735084E-2</v>
      </c>
    </row>
    <row r="7" spans="1:5" x14ac:dyDescent="0.3">
      <c r="A7" s="53">
        <f>DATE(B7,MATCH(TRIM(C7),{"January","February","March","April","May","June","July","August","September","October","November","December"},0),1)</f>
        <v>44348</v>
      </c>
      <c r="B7">
        <v>2021</v>
      </c>
      <c r="C7" t="s">
        <v>39</v>
      </c>
      <c r="D7">
        <v>71.98</v>
      </c>
      <c r="E7" s="51">
        <f t="shared" si="0"/>
        <v>7.5130694548170285E-2</v>
      </c>
    </row>
    <row r="8" spans="1:5" x14ac:dyDescent="0.3">
      <c r="A8" s="53">
        <f>DATE(B8,MATCH(TRIM(C8),{"January","February","March","April","May","June","July","August","September","October","November","December"},0),1)</f>
        <v>44378</v>
      </c>
      <c r="B8">
        <v>2021</v>
      </c>
      <c r="C8" t="s">
        <v>40</v>
      </c>
      <c r="D8">
        <v>73.540000000000006</v>
      </c>
      <c r="E8" s="51">
        <f t="shared" si="0"/>
        <v>2.1672686857460436E-2</v>
      </c>
    </row>
    <row r="9" spans="1:5" x14ac:dyDescent="0.3">
      <c r="A9" s="53">
        <f>DATE(B9,MATCH(TRIM(C9),{"January","February","March","April","May","June","July","August","September","October","November","December"},0),1)</f>
        <v>44409</v>
      </c>
      <c r="B9">
        <v>2021</v>
      </c>
      <c r="C9" t="s">
        <v>41</v>
      </c>
      <c r="D9">
        <v>69.8</v>
      </c>
      <c r="E9" s="51">
        <f t="shared" si="0"/>
        <v>-5.0856676638564163E-2</v>
      </c>
    </row>
    <row r="10" spans="1:5" x14ac:dyDescent="0.3">
      <c r="A10" s="53">
        <f>DATE(B10,MATCH(TRIM(C10),{"January","February","March","April","May","June","July","August","September","October","November","December"},0),1)</f>
        <v>44440</v>
      </c>
      <c r="B10">
        <v>2021</v>
      </c>
      <c r="C10" t="s">
        <v>42</v>
      </c>
      <c r="D10">
        <v>73.13</v>
      </c>
      <c r="E10" s="51">
        <f t="shared" si="0"/>
        <v>4.7707736389684792E-2</v>
      </c>
    </row>
    <row r="11" spans="1:5" x14ac:dyDescent="0.3">
      <c r="A11" s="53">
        <f>DATE(B11,MATCH(TRIM(C11),{"January","February","March","April","May","June","July","August","September","October","November","December"},0),1)</f>
        <v>44470</v>
      </c>
      <c r="B11">
        <v>2021</v>
      </c>
      <c r="C11" t="s">
        <v>43</v>
      </c>
      <c r="D11">
        <v>82.11</v>
      </c>
      <c r="E11" s="51">
        <f t="shared" si="0"/>
        <v>0.12279502256255989</v>
      </c>
    </row>
    <row r="12" spans="1:5" x14ac:dyDescent="0.3">
      <c r="A12" s="53">
        <f>DATE(B12,MATCH(TRIM(C12),{"January","February","March","April","May","June","July","August","September","October","November","December"},0),1)</f>
        <v>44501</v>
      </c>
      <c r="B12">
        <v>2021</v>
      </c>
      <c r="C12" t="s">
        <v>45</v>
      </c>
      <c r="D12">
        <v>80.64</v>
      </c>
      <c r="E12" s="51">
        <f t="shared" si="0"/>
        <v>-1.7902813299232722E-2</v>
      </c>
    </row>
    <row r="13" spans="1:5" x14ac:dyDescent="0.3">
      <c r="A13" s="53">
        <f>DATE(B13,MATCH(TRIM(C13),{"January","February","March","April","May","June","July","August","September","October","November","December"},0),1)</f>
        <v>44531</v>
      </c>
      <c r="B13">
        <v>2021</v>
      </c>
      <c r="C13" t="s">
        <v>46</v>
      </c>
      <c r="D13">
        <v>73.3</v>
      </c>
      <c r="E13" s="51">
        <f t="shared" si="0"/>
        <v>-9.1021825396825434E-2</v>
      </c>
    </row>
    <row r="14" spans="1:5" x14ac:dyDescent="0.3">
      <c r="A14" s="53">
        <f>DATE(B14,MATCH(TRIM(C14),{"January","February","March","April","May","June","July","August","September","October","November","December"},0),1)</f>
        <v>44562</v>
      </c>
      <c r="B14">
        <v>2022</v>
      </c>
      <c r="C14" t="s">
        <v>31</v>
      </c>
      <c r="D14">
        <v>84.67</v>
      </c>
      <c r="E14" s="51">
        <f t="shared" si="0"/>
        <v>0.15511596180081863</v>
      </c>
    </row>
    <row r="15" spans="1:5" x14ac:dyDescent="0.3">
      <c r="A15" s="53">
        <f>DATE(B15,MATCH(TRIM(C15),{"January","February","March","April","May","June","July","August","September","October","November","December"},0),1)</f>
        <v>44593</v>
      </c>
      <c r="B15">
        <v>2022</v>
      </c>
      <c r="C15" t="s">
        <v>35</v>
      </c>
      <c r="D15">
        <v>94.07</v>
      </c>
      <c r="E15" s="51">
        <f t="shared" si="0"/>
        <v>0.11101925121058216</v>
      </c>
    </row>
    <row r="16" spans="1:5" x14ac:dyDescent="0.3">
      <c r="A16" s="53">
        <f>DATE(B16,MATCH(TRIM(C16),{"January","February","March","April","May","June","July","August","September","October","November","December"},0),1)</f>
        <v>44621</v>
      </c>
      <c r="B16">
        <v>2022</v>
      </c>
      <c r="C16" t="s">
        <v>36</v>
      </c>
      <c r="D16">
        <v>112.87</v>
      </c>
      <c r="E16" s="51">
        <f t="shared" si="0"/>
        <v>0.19985117465717034</v>
      </c>
    </row>
    <row r="17" spans="1:5" x14ac:dyDescent="0.3">
      <c r="A17" s="53">
        <f>DATE(B17,MATCH(TRIM(C17),{"January","February","March","April","May","June","July","August","September","October","November","December"},0),1)</f>
        <v>44652</v>
      </c>
      <c r="B17">
        <v>2022</v>
      </c>
      <c r="C17" t="s">
        <v>37</v>
      </c>
      <c r="D17">
        <v>102.97</v>
      </c>
      <c r="E17" s="51">
        <f t="shared" si="0"/>
        <v>-8.7711526534951761E-2</v>
      </c>
    </row>
    <row r="18" spans="1:5" x14ac:dyDescent="0.3">
      <c r="A18" s="53">
        <f>DATE(B18,MATCH(TRIM(C18),{"January","February","March","April","May","June","July","August","September","October","November","December"},0),1)</f>
        <v>44682</v>
      </c>
      <c r="B18">
        <v>2022</v>
      </c>
      <c r="C18" t="s">
        <v>38</v>
      </c>
      <c r="D18">
        <v>109.51</v>
      </c>
      <c r="E18" s="51">
        <f t="shared" si="0"/>
        <v>6.3513644750898379E-2</v>
      </c>
    </row>
    <row r="19" spans="1:5" x14ac:dyDescent="0.3">
      <c r="A19" s="53">
        <f>DATE(B19,MATCH(TRIM(C19),{"January","February","March","April","May","June","July","August","September","October","November","December"},0),1)</f>
        <v>44713</v>
      </c>
      <c r="B19">
        <v>2022</v>
      </c>
      <c r="C19" t="s">
        <v>39</v>
      </c>
      <c r="D19">
        <v>116.01</v>
      </c>
      <c r="E19" s="51">
        <f t="shared" si="0"/>
        <v>5.9355310017350012E-2</v>
      </c>
    </row>
    <row r="20" spans="1:5" x14ac:dyDescent="0.3">
      <c r="A20" s="53">
        <f>DATE(B20,MATCH(TRIM(C20),{"January","February","March","April","May","June","July","August","September","October","November","December"},0),1)</f>
        <v>44743</v>
      </c>
      <c r="B20">
        <v>2022</v>
      </c>
      <c r="C20" t="s">
        <v>40</v>
      </c>
      <c r="D20">
        <v>105.49</v>
      </c>
      <c r="E20" s="51">
        <f t="shared" si="0"/>
        <v>-9.0681837772605897E-2</v>
      </c>
    </row>
    <row r="21" spans="1:5" x14ac:dyDescent="0.3">
      <c r="A21" s="53">
        <f>DATE(B21,MATCH(TRIM(C21),{"January","February","March","April","May","June","July","August","September","October","November","December"},0),1)</f>
        <v>44774</v>
      </c>
      <c r="B21">
        <v>2022</v>
      </c>
      <c r="C21" t="s">
        <v>41</v>
      </c>
      <c r="D21">
        <v>97.4</v>
      </c>
      <c r="E21" s="51">
        <f t="shared" si="0"/>
        <v>-7.6689733624040093E-2</v>
      </c>
    </row>
    <row r="22" spans="1:5" x14ac:dyDescent="0.3">
      <c r="A22" s="53">
        <f>DATE(B22,MATCH(TRIM(C22),{"January","February","March","April","May","June","July","August","September","October","November","December"},0),1)</f>
        <v>44805</v>
      </c>
      <c r="B22">
        <v>2022</v>
      </c>
      <c r="C22" t="s">
        <v>42</v>
      </c>
      <c r="D22">
        <v>90.71</v>
      </c>
      <c r="E22" s="51">
        <f t="shared" si="0"/>
        <v>-6.8685831622176716E-2</v>
      </c>
    </row>
    <row r="23" spans="1:5" x14ac:dyDescent="0.3">
      <c r="A23" s="53">
        <f>DATE(B23,MATCH(TRIM(C23),{"January","February","March","April","May","June","July","August","September","October","November","December"},0),1)</f>
        <v>44835</v>
      </c>
      <c r="B23">
        <v>2022</v>
      </c>
      <c r="C23" t="s">
        <v>43</v>
      </c>
      <c r="D23">
        <v>91.7</v>
      </c>
      <c r="E23" s="51">
        <f t="shared" si="0"/>
        <v>1.0913901444162818E-2</v>
      </c>
    </row>
    <row r="24" spans="1:5" x14ac:dyDescent="0.3">
      <c r="A24" s="53">
        <f>DATE(B24,MATCH(TRIM(C24),{"January","February","March","April","May","June","July","August","September","October","November","December"},0),1)</f>
        <v>44866</v>
      </c>
      <c r="B24">
        <v>2022</v>
      </c>
      <c r="C24" t="s">
        <v>45</v>
      </c>
      <c r="D24">
        <v>87.55</v>
      </c>
      <c r="E24" s="51">
        <f t="shared" si="0"/>
        <v>-4.5256270447110204E-2</v>
      </c>
    </row>
    <row r="25" spans="1:5" x14ac:dyDescent="0.3">
      <c r="A25" s="53">
        <f>DATE(B25,MATCH(TRIM(C25),{"January","February","March","April","May","June","July","August","September","October","November","December"},0),1)</f>
        <v>44896</v>
      </c>
      <c r="B25">
        <v>2022</v>
      </c>
      <c r="C25" t="s">
        <v>46</v>
      </c>
      <c r="D25">
        <v>78.099999999999994</v>
      </c>
      <c r="E25" s="51">
        <f t="shared" si="0"/>
        <v>-0.10793832095945177</v>
      </c>
    </row>
    <row r="26" spans="1:5" x14ac:dyDescent="0.3">
      <c r="A26" s="53">
        <f>DATE(B26,MATCH(TRIM(C26),{"January","February","March","April","May","June","July","August","September","October","November","December"},0),1)</f>
        <v>44927</v>
      </c>
      <c r="B26">
        <v>2023</v>
      </c>
      <c r="C26" t="s">
        <v>31</v>
      </c>
      <c r="D26">
        <v>80.92</v>
      </c>
      <c r="E26" s="51">
        <f t="shared" si="0"/>
        <v>3.6107554417413666E-2</v>
      </c>
    </row>
    <row r="27" spans="1:5" x14ac:dyDescent="0.3">
      <c r="A27" s="53">
        <f>DATE(B27,MATCH(TRIM(C27),{"January","February","March","April","May","June","July","August","September","October","November","December"},0),1)</f>
        <v>44958</v>
      </c>
      <c r="B27">
        <v>2023</v>
      </c>
      <c r="C27" t="s">
        <v>35</v>
      </c>
      <c r="D27">
        <v>82.28</v>
      </c>
      <c r="E27" s="51">
        <f t="shared" si="0"/>
        <v>1.6806722689075623E-2</v>
      </c>
    </row>
    <row r="28" spans="1:5" x14ac:dyDescent="0.3">
      <c r="A28" s="53">
        <f>DATE(B28,MATCH(TRIM(C28),{"January","February","March","April","May","June","July","August","September","October","November","December"},0),1)</f>
        <v>44986</v>
      </c>
      <c r="B28">
        <v>2023</v>
      </c>
      <c r="C28" t="s">
        <v>36</v>
      </c>
      <c r="D28">
        <v>78.540000000000006</v>
      </c>
      <c r="E28" s="51">
        <f t="shared" si="0"/>
        <v>-4.5454545454545393E-2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DFF7-EFAB-4E2E-95AB-393078F1FC72}">
  <dimension ref="A1:B31"/>
  <sheetViews>
    <sheetView workbookViewId="0">
      <selection activeCell="B10" sqref="B10"/>
    </sheetView>
  </sheetViews>
  <sheetFormatPr defaultRowHeight="14.4" x14ac:dyDescent="0.3"/>
  <cols>
    <col min="1" max="1" width="30.44140625" bestFit="1" customWidth="1"/>
    <col min="2" max="2" width="110.21875" bestFit="1" customWidth="1"/>
  </cols>
  <sheetData>
    <row r="1" spans="1:2" ht="15" thickBot="1" x14ac:dyDescent="0.35">
      <c r="A1" s="30" t="s">
        <v>47</v>
      </c>
      <c r="B1" s="31" t="s">
        <v>48</v>
      </c>
    </row>
    <row r="2" spans="1:2" x14ac:dyDescent="0.3">
      <c r="A2" s="36" t="s">
        <v>0</v>
      </c>
      <c r="B2" s="37" t="s">
        <v>49</v>
      </c>
    </row>
    <row r="3" spans="1:2" x14ac:dyDescent="0.3">
      <c r="A3" s="32" t="s">
        <v>1</v>
      </c>
      <c r="B3" s="33" t="s">
        <v>50</v>
      </c>
    </row>
    <row r="4" spans="1:2" x14ac:dyDescent="0.3">
      <c r="A4" s="32" t="s">
        <v>2</v>
      </c>
      <c r="B4" s="33" t="s">
        <v>51</v>
      </c>
    </row>
    <row r="5" spans="1:2" x14ac:dyDescent="0.3">
      <c r="A5" s="32" t="s">
        <v>3</v>
      </c>
      <c r="B5" s="33" t="s">
        <v>52</v>
      </c>
    </row>
    <row r="6" spans="1:2" x14ac:dyDescent="0.3">
      <c r="A6" s="32" t="s">
        <v>4</v>
      </c>
      <c r="B6" s="33" t="s">
        <v>53</v>
      </c>
    </row>
    <row r="7" spans="1:2" x14ac:dyDescent="0.3">
      <c r="A7" s="32" t="s">
        <v>5</v>
      </c>
      <c r="B7" s="33" t="s">
        <v>54</v>
      </c>
    </row>
    <row r="8" spans="1:2" x14ac:dyDescent="0.3">
      <c r="A8" s="32" t="s">
        <v>6</v>
      </c>
      <c r="B8" s="33" t="s">
        <v>55</v>
      </c>
    </row>
    <row r="9" spans="1:2" x14ac:dyDescent="0.3">
      <c r="A9" s="32" t="s">
        <v>7</v>
      </c>
      <c r="B9" s="33" t="s">
        <v>56</v>
      </c>
    </row>
    <row r="10" spans="1:2" x14ac:dyDescent="0.3">
      <c r="A10" s="32" t="s">
        <v>8</v>
      </c>
      <c r="B10" s="33" t="s">
        <v>57</v>
      </c>
    </row>
    <row r="11" spans="1:2" x14ac:dyDescent="0.3">
      <c r="A11" s="32" t="s">
        <v>9</v>
      </c>
      <c r="B11" s="33" t="s">
        <v>58</v>
      </c>
    </row>
    <row r="12" spans="1:2" x14ac:dyDescent="0.3">
      <c r="A12" s="32" t="s">
        <v>10</v>
      </c>
      <c r="B12" s="33" t="s">
        <v>59</v>
      </c>
    </row>
    <row r="13" spans="1:2" x14ac:dyDescent="0.3">
      <c r="A13" s="32" t="s">
        <v>11</v>
      </c>
      <c r="B13" s="33" t="s">
        <v>60</v>
      </c>
    </row>
    <row r="14" spans="1:2" x14ac:dyDescent="0.3">
      <c r="A14" s="32" t="s">
        <v>12</v>
      </c>
      <c r="B14" s="33" t="s">
        <v>61</v>
      </c>
    </row>
    <row r="15" spans="1:2" x14ac:dyDescent="0.3">
      <c r="A15" s="32" t="s">
        <v>13</v>
      </c>
      <c r="B15" s="33" t="s">
        <v>62</v>
      </c>
    </row>
    <row r="16" spans="1:2" x14ac:dyDescent="0.3">
      <c r="A16" s="32" t="s">
        <v>14</v>
      </c>
      <c r="B16" s="33" t="s">
        <v>63</v>
      </c>
    </row>
    <row r="17" spans="1:2" x14ac:dyDescent="0.3">
      <c r="A17" s="32" t="s">
        <v>15</v>
      </c>
      <c r="B17" s="33" t="s">
        <v>64</v>
      </c>
    </row>
    <row r="18" spans="1:2" x14ac:dyDescent="0.3">
      <c r="A18" s="32" t="s">
        <v>16</v>
      </c>
      <c r="B18" s="33" t="s">
        <v>65</v>
      </c>
    </row>
    <row r="19" spans="1:2" x14ac:dyDescent="0.3">
      <c r="A19" s="32" t="s">
        <v>17</v>
      </c>
      <c r="B19" s="33" t="s">
        <v>66</v>
      </c>
    </row>
    <row r="20" spans="1:2" x14ac:dyDescent="0.3">
      <c r="A20" s="32" t="s">
        <v>18</v>
      </c>
      <c r="B20" s="33" t="s">
        <v>67</v>
      </c>
    </row>
    <row r="21" spans="1:2" x14ac:dyDescent="0.3">
      <c r="A21" s="32" t="s">
        <v>19</v>
      </c>
      <c r="B21" s="33" t="s">
        <v>68</v>
      </c>
    </row>
    <row r="22" spans="1:2" x14ac:dyDescent="0.3">
      <c r="A22" s="32" t="s">
        <v>20</v>
      </c>
      <c r="B22" s="33" t="s">
        <v>69</v>
      </c>
    </row>
    <row r="23" spans="1:2" x14ac:dyDescent="0.3">
      <c r="A23" s="32" t="s">
        <v>21</v>
      </c>
      <c r="B23" s="33" t="s">
        <v>70</v>
      </c>
    </row>
    <row r="24" spans="1:2" x14ac:dyDescent="0.3">
      <c r="A24" s="32" t="s">
        <v>22</v>
      </c>
      <c r="B24" s="33" t="s">
        <v>71</v>
      </c>
    </row>
    <row r="25" spans="1:2" x14ac:dyDescent="0.3">
      <c r="A25" s="32" t="s">
        <v>23</v>
      </c>
      <c r="B25" s="33" t="s">
        <v>72</v>
      </c>
    </row>
    <row r="26" spans="1:2" x14ac:dyDescent="0.3">
      <c r="A26" s="32" t="s">
        <v>24</v>
      </c>
      <c r="B26" s="33" t="s">
        <v>73</v>
      </c>
    </row>
    <row r="27" spans="1:2" x14ac:dyDescent="0.3">
      <c r="A27" s="32" t="s">
        <v>25</v>
      </c>
      <c r="B27" s="33" t="s">
        <v>74</v>
      </c>
    </row>
    <row r="28" spans="1:2" x14ac:dyDescent="0.3">
      <c r="A28" s="32" t="s">
        <v>26</v>
      </c>
      <c r="B28" s="33" t="s">
        <v>75</v>
      </c>
    </row>
    <row r="29" spans="1:2" x14ac:dyDescent="0.3">
      <c r="A29" s="32" t="s">
        <v>27</v>
      </c>
      <c r="B29" s="33" t="s">
        <v>76</v>
      </c>
    </row>
    <row r="30" spans="1:2" x14ac:dyDescent="0.3">
      <c r="A30" s="32" t="s">
        <v>28</v>
      </c>
      <c r="B30" s="33" t="s">
        <v>77</v>
      </c>
    </row>
    <row r="31" spans="1:2" ht="15" thickBot="1" x14ac:dyDescent="0.35">
      <c r="A31" s="34" t="s">
        <v>29</v>
      </c>
      <c r="B31" s="35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D576-1FE0-419D-A6C8-61D12A4401E1}">
  <dimension ref="A1:AG189"/>
  <sheetViews>
    <sheetView tabSelected="1" topLeftCell="A170" workbookViewId="0">
      <selection activeCell="R178" sqref="R178:S189"/>
    </sheetView>
  </sheetViews>
  <sheetFormatPr defaultRowHeight="14.4" x14ac:dyDescent="0.3"/>
  <cols>
    <col min="18" max="18" width="27.109375" bestFit="1" customWidth="1"/>
    <col min="19" max="19" width="12.6640625" bestFit="1" customWidth="1"/>
    <col min="20" max="20" width="27.109375" bestFit="1" customWidth="1"/>
    <col min="21" max="21" width="12.6640625" bestFit="1" customWidth="1"/>
  </cols>
  <sheetData>
    <row r="1" spans="1:33" x14ac:dyDescent="0.3">
      <c r="A1" s="41" t="s">
        <v>105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33" x14ac:dyDescent="0.3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33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33" x14ac:dyDescent="0.3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33" x14ac:dyDescent="0.3">
      <c r="M5" s="41" t="s">
        <v>171</v>
      </c>
      <c r="N5" s="45"/>
      <c r="O5" s="45"/>
      <c r="P5" s="45"/>
      <c r="Q5" s="45"/>
      <c r="R5" s="45"/>
      <c r="S5" s="45"/>
      <c r="T5" s="45"/>
      <c r="U5" s="45"/>
      <c r="AC5" s="48" t="s">
        <v>170</v>
      </c>
      <c r="AD5" s="48"/>
      <c r="AE5" s="48"/>
      <c r="AF5" s="48"/>
      <c r="AG5" s="48"/>
    </row>
    <row r="6" spans="1:33" x14ac:dyDescent="0.3">
      <c r="M6" s="45"/>
      <c r="N6" s="45"/>
      <c r="O6" s="45"/>
      <c r="P6" s="45"/>
      <c r="Q6" s="45"/>
      <c r="R6" s="45"/>
      <c r="S6" s="45"/>
      <c r="T6" s="45"/>
      <c r="U6" s="45"/>
      <c r="AC6" s="48"/>
      <c r="AD6" s="48"/>
      <c r="AE6" s="48"/>
      <c r="AF6" s="48"/>
      <c r="AG6" s="48"/>
    </row>
    <row r="7" spans="1:33" x14ac:dyDescent="0.3">
      <c r="AC7" s="48"/>
      <c r="AD7" s="48"/>
      <c r="AE7" s="48"/>
      <c r="AF7" s="48"/>
      <c r="AG7" s="48"/>
    </row>
    <row r="11" spans="1:33" x14ac:dyDescent="0.3">
      <c r="X11" s="47" t="s">
        <v>169</v>
      </c>
      <c r="Y11" s="45"/>
      <c r="Z11" s="45"/>
    </row>
    <row r="12" spans="1:33" x14ac:dyDescent="0.3">
      <c r="X12" s="45"/>
      <c r="Y12" s="45"/>
      <c r="Z12" s="45"/>
    </row>
    <row r="13" spans="1:33" x14ac:dyDescent="0.3">
      <c r="X13" s="45"/>
      <c r="Y13" s="45"/>
      <c r="Z13" s="45"/>
    </row>
    <row r="14" spans="1:33" x14ac:dyDescent="0.3">
      <c r="X14" s="45"/>
      <c r="Y14" s="45"/>
      <c r="Z14" s="45"/>
    </row>
    <row r="15" spans="1:33" x14ac:dyDescent="0.3">
      <c r="X15" s="45"/>
      <c r="Y15" s="45"/>
      <c r="Z15" s="45"/>
    </row>
    <row r="22" spans="1:24" x14ac:dyDescent="0.3">
      <c r="F22" s="45"/>
      <c r="G22" s="45"/>
      <c r="H22" s="45"/>
      <c r="I22" s="45"/>
      <c r="J22" s="45"/>
      <c r="K22" s="45"/>
      <c r="L22" s="45"/>
      <c r="M22" s="45"/>
      <c r="N22" s="45"/>
      <c r="O22" s="45"/>
    </row>
    <row r="23" spans="1:24" x14ac:dyDescent="0.3">
      <c r="F23" s="45"/>
      <c r="G23" s="45"/>
      <c r="H23" s="45"/>
      <c r="I23" s="45"/>
      <c r="J23" s="45"/>
      <c r="K23" s="45"/>
      <c r="L23" s="45"/>
      <c r="M23" s="45"/>
      <c r="N23" s="45"/>
      <c r="O23" s="45"/>
    </row>
    <row r="24" spans="1:24" x14ac:dyDescent="0.3">
      <c r="F24" s="45"/>
      <c r="G24" s="45"/>
      <c r="H24" s="45"/>
      <c r="I24" s="45"/>
      <c r="J24" s="45"/>
      <c r="K24" s="45"/>
      <c r="L24" s="45"/>
      <c r="M24" s="45"/>
      <c r="N24" s="45"/>
      <c r="O24" s="45"/>
    </row>
    <row r="25" spans="1:24" ht="18" customHeight="1" x14ac:dyDescent="0.3">
      <c r="M25" s="46" t="s">
        <v>168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</row>
    <row r="26" spans="1:24" ht="15.6" customHeight="1" x14ac:dyDescent="0.3"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</row>
    <row r="27" spans="1:24" ht="15.6" customHeight="1" x14ac:dyDescent="0.3"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</row>
    <row r="30" spans="1:24" x14ac:dyDescent="0.3">
      <c r="A30" s="41" t="s">
        <v>106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</row>
    <row r="31" spans="1:24" x14ac:dyDescent="0.3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</row>
    <row r="32" spans="1:24" x14ac:dyDescent="0.3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</row>
    <row r="34" spans="2:14" ht="23.4" x14ac:dyDescent="0.45">
      <c r="B34" s="5" t="s">
        <v>96</v>
      </c>
      <c r="C34" s="5" t="s">
        <v>97</v>
      </c>
      <c r="D34" s="5" t="s">
        <v>98</v>
      </c>
    </row>
    <row r="35" spans="2:14" ht="23.4" x14ac:dyDescent="0.45">
      <c r="B35" s="6">
        <v>2017</v>
      </c>
      <c r="C35" s="6"/>
      <c r="D35" s="6">
        <v>133.38611111111112</v>
      </c>
    </row>
    <row r="36" spans="2:14" ht="23.4" x14ac:dyDescent="0.45">
      <c r="B36" s="6">
        <v>2018</v>
      </c>
      <c r="C36" s="6">
        <f>(D36-D35)/D35*100</f>
        <v>3.9609321310314436</v>
      </c>
      <c r="D36" s="6">
        <v>138.66944444444442</v>
      </c>
    </row>
    <row r="37" spans="2:14" ht="23.4" x14ac:dyDescent="0.45">
      <c r="B37" s="6">
        <v>2019</v>
      </c>
      <c r="C37" s="6">
        <f t="shared" ref="C37:C41" si="0">(D37-D36)/D36*100</f>
        <v>3.9358550145593822</v>
      </c>
      <c r="D37" s="6">
        <v>144.12727272727273</v>
      </c>
    </row>
    <row r="38" spans="2:14" ht="23.4" x14ac:dyDescent="0.45">
      <c r="B38" s="6">
        <v>2020</v>
      </c>
      <c r="C38" s="6">
        <f t="shared" si="0"/>
        <v>6.3851393969975749</v>
      </c>
      <c r="D38" s="6">
        <v>153.32999999999996</v>
      </c>
    </row>
    <row r="39" spans="2:14" ht="23.4" x14ac:dyDescent="0.45">
      <c r="B39" s="6">
        <v>2021</v>
      </c>
      <c r="C39" s="6">
        <f t="shared" si="0"/>
        <v>5.2740276962543087</v>
      </c>
      <c r="D39" s="6">
        <v>161.41666666666669</v>
      </c>
    </row>
    <row r="40" spans="2:14" ht="23.4" x14ac:dyDescent="0.45">
      <c r="B40" s="5">
        <v>2022</v>
      </c>
      <c r="C40" s="5">
        <f t="shared" si="0"/>
        <v>6.6029943211151423</v>
      </c>
      <c r="D40" s="5">
        <v>172.07500000000005</v>
      </c>
    </row>
    <row r="41" spans="2:14" ht="23.4" x14ac:dyDescent="0.45">
      <c r="B41" s="6">
        <v>2023</v>
      </c>
      <c r="C41" s="6">
        <f t="shared" si="0"/>
        <v>3.1953121216523472</v>
      </c>
      <c r="D41" s="6">
        <v>177.57333333333332</v>
      </c>
    </row>
    <row r="47" spans="2:14" x14ac:dyDescent="0.3">
      <c r="I47" s="46" t="s">
        <v>99</v>
      </c>
      <c r="J47" s="46"/>
      <c r="K47" s="46"/>
      <c r="L47" s="46"/>
      <c r="M47" s="46"/>
      <c r="N47" s="46"/>
    </row>
    <row r="48" spans="2:14" x14ac:dyDescent="0.3">
      <c r="I48" s="46"/>
      <c r="J48" s="46"/>
      <c r="K48" s="46"/>
      <c r="L48" s="46"/>
      <c r="M48" s="46"/>
      <c r="N48" s="46"/>
    </row>
    <row r="49" spans="1:16" ht="18" x14ac:dyDescent="0.35">
      <c r="L49" s="4" t="s">
        <v>100</v>
      </c>
    </row>
    <row r="50" spans="1:16" x14ac:dyDescent="0.3">
      <c r="L50" t="s">
        <v>101</v>
      </c>
    </row>
    <row r="51" spans="1:16" x14ac:dyDescent="0.3">
      <c r="L51" t="s">
        <v>102</v>
      </c>
    </row>
    <row r="52" spans="1:16" x14ac:dyDescent="0.3">
      <c r="L52" t="s">
        <v>103</v>
      </c>
    </row>
    <row r="53" spans="1:16" x14ac:dyDescent="0.3">
      <c r="L53" t="s">
        <v>104</v>
      </c>
    </row>
    <row r="56" spans="1:16" x14ac:dyDescent="0.3">
      <c r="A56" s="41" t="s">
        <v>158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</row>
    <row r="57" spans="1:16" x14ac:dyDescent="0.3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</row>
    <row r="81" spans="4:13" x14ac:dyDescent="0.3">
      <c r="E81" s="46" t="s">
        <v>124</v>
      </c>
      <c r="F81" s="49"/>
      <c r="G81" s="49"/>
      <c r="H81" s="49"/>
      <c r="J81" s="1" t="s">
        <v>43</v>
      </c>
      <c r="K81" s="1">
        <v>0.97</v>
      </c>
    </row>
    <row r="82" spans="4:13" x14ac:dyDescent="0.3">
      <c r="E82" s="49"/>
      <c r="F82" s="49"/>
      <c r="G82" s="49"/>
      <c r="H82" s="49"/>
      <c r="J82" s="1" t="s">
        <v>46</v>
      </c>
      <c r="K82" s="1">
        <v>-1.36</v>
      </c>
    </row>
    <row r="83" spans="4:13" x14ac:dyDescent="0.3">
      <c r="E83" s="49"/>
      <c r="F83" s="49"/>
      <c r="G83" s="49"/>
      <c r="H83" s="49"/>
    </row>
    <row r="87" spans="4:13" x14ac:dyDescent="0.3">
      <c r="D87" s="41" t="s">
        <v>159</v>
      </c>
      <c r="E87" s="41"/>
      <c r="F87" s="41"/>
      <c r="G87" s="41"/>
      <c r="H87" s="41"/>
      <c r="I87" s="41"/>
      <c r="J87" s="41"/>
      <c r="K87" s="41"/>
      <c r="L87" s="41"/>
      <c r="M87" s="41"/>
    </row>
    <row r="88" spans="4:13" x14ac:dyDescent="0.3">
      <c r="D88" s="41"/>
      <c r="E88" s="41"/>
      <c r="F88" s="41"/>
      <c r="G88" s="41"/>
      <c r="H88" s="41"/>
      <c r="I88" s="41"/>
      <c r="J88" s="41"/>
      <c r="K88" s="41"/>
      <c r="L88" s="41"/>
      <c r="M88" s="41"/>
    </row>
    <row r="111" spans="7:13" ht="14.4" customHeight="1" x14ac:dyDescent="0.3">
      <c r="G111" s="50" t="s">
        <v>161</v>
      </c>
      <c r="H111" s="50"/>
      <c r="I111" s="50"/>
      <c r="J111" s="50"/>
      <c r="K111" s="50"/>
      <c r="L111" s="50"/>
      <c r="M111" s="50"/>
    </row>
    <row r="112" spans="7:13" x14ac:dyDescent="0.3">
      <c r="G112" s="50"/>
      <c r="H112" s="50"/>
      <c r="I112" s="50"/>
      <c r="J112" s="50"/>
      <c r="K112" s="50"/>
      <c r="L112" s="50"/>
      <c r="M112" s="50"/>
    </row>
    <row r="113" spans="7:25" x14ac:dyDescent="0.3">
      <c r="G113" s="50"/>
      <c r="H113" s="50"/>
      <c r="I113" s="50"/>
      <c r="J113" s="50"/>
      <c r="K113" s="50"/>
      <c r="L113" s="50"/>
      <c r="M113" s="50"/>
    </row>
    <row r="114" spans="7:25" x14ac:dyDescent="0.3">
      <c r="G114" s="50"/>
      <c r="H114" s="50"/>
      <c r="I114" s="50"/>
      <c r="J114" s="50"/>
      <c r="K114" s="50"/>
      <c r="L114" s="50"/>
      <c r="M114" s="50"/>
    </row>
    <row r="120" spans="7:25" x14ac:dyDescent="0.3">
      <c r="G120" s="41" t="s">
        <v>162</v>
      </c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</row>
    <row r="121" spans="7:25" x14ac:dyDescent="0.3"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</row>
    <row r="122" spans="7:25" x14ac:dyDescent="0.3"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</row>
    <row r="149" spans="9:12" x14ac:dyDescent="0.3">
      <c r="I149" s="39" t="s">
        <v>157</v>
      </c>
      <c r="J149" s="49"/>
      <c r="K149" s="49"/>
      <c r="L149" s="49"/>
    </row>
    <row r="150" spans="9:12" x14ac:dyDescent="0.3">
      <c r="I150" s="49"/>
      <c r="J150" s="49"/>
      <c r="K150" s="49"/>
      <c r="L150" s="49"/>
    </row>
    <row r="151" spans="9:12" x14ac:dyDescent="0.3">
      <c r="I151" s="49"/>
      <c r="J151" s="49"/>
      <c r="K151" s="49"/>
      <c r="L151" s="49"/>
    </row>
    <row r="169" spans="1:20" x14ac:dyDescent="0.3">
      <c r="A169" s="40" t="s">
        <v>200</v>
      </c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</row>
    <row r="170" spans="1:20" x14ac:dyDescent="0.3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</row>
    <row r="171" spans="1:20" x14ac:dyDescent="0.3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</row>
    <row r="176" spans="1:20" x14ac:dyDescent="0.3">
      <c r="R176" s="1" t="s">
        <v>198</v>
      </c>
      <c r="S176" s="1" t="s">
        <v>199</v>
      </c>
    </row>
    <row r="178" spans="18:19" x14ac:dyDescent="0.3">
      <c r="R178" s="1" t="s">
        <v>189</v>
      </c>
      <c r="S178">
        <f>CORREL(Sheet5!F:F,Sheet5!AD:AD)</f>
        <v>0.10939845063603754</v>
      </c>
    </row>
    <row r="179" spans="18:19" x14ac:dyDescent="0.3">
      <c r="R179" s="1" t="s">
        <v>190</v>
      </c>
      <c r="S179">
        <f>CORREL(Sheet5!H:H,Sheet5!AD:AD)</f>
        <v>0.13968413716994257</v>
      </c>
    </row>
    <row r="180" spans="18:19" x14ac:dyDescent="0.3">
      <c r="R180" s="1" t="s">
        <v>191</v>
      </c>
      <c r="S180">
        <f>CORREL(Sheet5!J:J,Sheet5!AD:AD)</f>
        <v>0.1049685670817006</v>
      </c>
    </row>
    <row r="181" spans="18:19" x14ac:dyDescent="0.3">
      <c r="R181" s="1" t="s">
        <v>192</v>
      </c>
      <c r="S181">
        <f>CORREL(Sheet5!L:L,Sheet5!AD:AD)</f>
        <v>0.13261758029175935</v>
      </c>
    </row>
    <row r="182" spans="18:19" x14ac:dyDescent="0.3">
      <c r="R182" s="1" t="s">
        <v>193</v>
      </c>
      <c r="S182">
        <f>CORREL(Sheet5!N:N,Sheet5!AD:AD)</f>
        <v>-4.421400961092059E-3</v>
      </c>
    </row>
    <row r="183" spans="18:19" x14ac:dyDescent="0.3">
      <c r="R183" s="1" t="s">
        <v>23</v>
      </c>
      <c r="S183">
        <f>CORREL(Sheet5!P:P,Sheet5!AD:AD)</f>
        <v>7.7797236538383482E-2</v>
      </c>
    </row>
    <row r="184" spans="18:19" x14ac:dyDescent="0.3">
      <c r="R184" s="1" t="s">
        <v>194</v>
      </c>
      <c r="S184">
        <f>CORREL(Sheet5!R:R,Sheet5!AD:AD)</f>
        <v>9.7696080776778799E-2</v>
      </c>
    </row>
    <row r="185" spans="18:19" x14ac:dyDescent="0.3">
      <c r="R185" s="1" t="s">
        <v>195</v>
      </c>
      <c r="S185">
        <f>CORREL(Sheet5!T:T,Sheet5!AD:AD)</f>
        <v>0.12837905719151088</v>
      </c>
    </row>
    <row r="186" spans="18:19" x14ac:dyDescent="0.3">
      <c r="R186" s="1" t="s">
        <v>26</v>
      </c>
      <c r="S186">
        <f>CORREL(Sheet5!V:V,Sheet5!AD:AD)</f>
        <v>-0.15568220947264713</v>
      </c>
    </row>
    <row r="187" spans="18:19" x14ac:dyDescent="0.3">
      <c r="R187" s="1" t="s">
        <v>196</v>
      </c>
      <c r="S187">
        <f>CORREL(Sheet5!X:X,Sheet5!AD:AD)</f>
        <v>-3.7153545558753563E-5</v>
      </c>
    </row>
    <row r="188" spans="18:19" x14ac:dyDescent="0.3">
      <c r="R188" s="1" t="s">
        <v>28</v>
      </c>
      <c r="S188">
        <f>CORREL(Sheet5!Z:Z,Sheet5!AD:AD)</f>
        <v>7.9750052237005362E-2</v>
      </c>
    </row>
    <row r="189" spans="18:19" x14ac:dyDescent="0.3">
      <c r="R189" s="1" t="s">
        <v>197</v>
      </c>
      <c r="S189">
        <f>CORREL(Sheet5!AB:AB,Sheet5!AD:AD)</f>
        <v>0.13192465113194785</v>
      </c>
    </row>
  </sheetData>
  <mergeCells count="15">
    <mergeCell ref="A169:T171"/>
    <mergeCell ref="AC5:AG7"/>
    <mergeCell ref="M25:X27"/>
    <mergeCell ref="M5:U6"/>
    <mergeCell ref="I149:L151"/>
    <mergeCell ref="E81:H83"/>
    <mergeCell ref="D87:M88"/>
    <mergeCell ref="G111:M114"/>
    <mergeCell ref="G120:Y122"/>
    <mergeCell ref="A1:Z4"/>
    <mergeCell ref="F22:O24"/>
    <mergeCell ref="A30:U32"/>
    <mergeCell ref="I47:N48"/>
    <mergeCell ref="A56:P57"/>
    <mergeCell ref="X11:Z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All_India_Index_Upto_April23 (1</vt:lpstr>
      <vt:lpstr>Sheet5</vt:lpstr>
      <vt:lpstr>crude oil</vt:lpstr>
      <vt:lpstr>Data dictnory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yashraj jani</cp:lastModifiedBy>
  <dcterms:created xsi:type="dcterms:W3CDTF">2026-08-23T19:58:28Z</dcterms:created>
  <dcterms:modified xsi:type="dcterms:W3CDTF">2026-08-27T15:51:09Z</dcterms:modified>
</cp:coreProperties>
</file>